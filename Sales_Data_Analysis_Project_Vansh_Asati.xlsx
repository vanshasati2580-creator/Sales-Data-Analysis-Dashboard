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dd6ae6ea8844984" /></Relationships>
</file>

<file path=xl/workbook.xml><?xml version="1.0" encoding="utf-8"?>
<x:workbook xmlns:x="http://schemas.openxmlformats.org/spreadsheetml/2006/main">
  <x:sheets>
    <x:sheet xmlns:r="http://schemas.openxmlformats.org/officeDocument/2006/relationships" name="Raw_Data" sheetId="1" r:id="R54774a7b5fc34b19"/>
    <x:sheet xmlns:r="http://schemas.openxmlformats.org/officeDocument/2006/relationships" name="Dashboard" sheetId="2" r:id="Ra373c198e56e4091"/>
    <x:sheet xmlns:r="http://schemas.openxmlformats.org/officeDocument/2006/relationships" name="Monthly_Analysis" sheetId="3" r:id="Rbe3f3f691b75490c"/>
    <x:sheet xmlns:r="http://schemas.openxmlformats.org/officeDocument/2006/relationships" name="Product_Analysis" sheetId="4" r:id="Ra44eeb3a4e47482f"/>
    <x:sheet xmlns:r="http://schemas.openxmlformats.org/officeDocument/2006/relationships" name="City_Analysis" sheetId="5" r:id="R815ff42acf1d4953"/>
    <x:sheet xmlns:r="http://schemas.openxmlformats.org/officeDocument/2006/relationships" name="PowerBI_Guide" sheetId="6" r:id="R8da98f4174444bd1"/>
    <x:sheet xmlns:r="http://schemas.openxmlformats.org/officeDocument/2006/relationships" name="README" sheetId="7" r:id="R1dee0aaf6f104348"/>
    <x:sheet xmlns:r="http://schemas.openxmlformats.org/officeDocument/2006/relationships" name="Chart_Data" sheetId="8" r:id="R73c426f6f75c45fa"/>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yyyy-mm-dd"/>
    <x:numFmt numFmtId="201" formatCode="₹#,##0"/>
    <x:numFmt numFmtId="202" formatCode="0%"/>
    <x:numFmt numFmtId="203" formatCode="0"/>
    <x:numFmt numFmtId="204" formatCode="mmm-yyyy"/>
    <x:numFmt numFmtId="205" formatCode="0.0%"/>
    <x:numFmt numFmtId="206" formatCode="mmm"/>
    <x:numFmt numFmtId="207" formatCode="@"/>
  </x:numFmts>
  <x:fonts count="8">
    <x:font>
      <x:sz val="11"/>
      <x:name val="Carlito"/>
    </x:font>
    <x:font>
      <x:b/>
      <x:sz val="11"/>
      <x:color rgb="FFFFFF"/>
      <x:name val="Carlito"/>
    </x:font>
    <x:font>
      <x:b/>
      <x:sz val="16"/>
      <x:color rgb="FFFFFF"/>
      <x:name val="Carlito"/>
    </x:font>
    <x:font>
      <x:i/>
      <x:sz val="11"/>
      <x:color rgb="1F1F1F"/>
      <x:name val="Carlito"/>
    </x:font>
    <x:font>
      <x:b/>
      <x:sz val="14"/>
      <x:name val="Carlito"/>
    </x:font>
    <x:font>
      <x:b/>
      <x:sz val="12"/>
      <x:name val="Carlito"/>
    </x:font>
    <x:font>
      <x:b/>
      <x:sz val="11"/>
      <x:name val="Carlito"/>
    </x:font>
    <x:font>
      <x:b/>
      <x:sz val="13"/>
      <x:name val="Carlito"/>
    </x:font>
  </x:fonts>
  <x:fills count="11">
    <x:fill>
      <x:patternFill patternType="none"/>
    </x:fill>
    <x:fill>
      <x:patternFill patternType="gray125"/>
    </x:fill>
    <x:fill>
      <x:patternFill patternType="solid">
        <x:fgColor rgb="1F4E78"/>
      </x:patternFill>
    </x:fill>
    <x:fill>
      <x:patternFill patternType="solid">
        <x:fgColor rgb="2F75B5"/>
      </x:patternFill>
    </x:fill>
    <x:fill>
      <x:patternFill patternType="solid">
        <x:fgColor rgb="DDEBF7"/>
      </x:patternFill>
    </x:fill>
    <x:fill>
      <x:patternFill patternType="solid">
        <x:fgColor rgb="F2F2F2"/>
      </x:patternFill>
    </x:fill>
    <x:fill>
      <x:patternFill patternType="solid">
        <x:fgColor rgb="70AD47"/>
      </x:patternFill>
    </x:fill>
    <x:fill>
      <x:patternFill patternType="solid">
        <x:fgColor rgb="E2F0D9"/>
      </x:patternFill>
    </x:fill>
    <x:fill>
      <x:patternFill patternType="solid">
        <x:fgColor rgb="F4B183"/>
      </x:patternFill>
    </x:fill>
    <x:fill>
      <x:patternFill patternType="solid">
        <x:fgColor rgb="FCE4D6"/>
      </x:patternFill>
    </x:fill>
    <x:fill>
      <x:patternFill patternType="solid">
        <x:fgColor rgb="FFF2CC"/>
      </x:patternFill>
    </x:fill>
  </x:fills>
  <x:borders count="38">
    <x:border/>
    <x:border/>
    <x:border>
      <x:right>
        <x:color rgb="D9EAF7"/>
      </x:right>
      <x:bottom>
        <x:color rgb="D9EAF7"/>
      </x:bottom>
    </x:border>
    <x:border>
      <x:left>
        <x:color rgb="D9EAF7"/>
      </x:left>
      <x:right>
        <x:color rgb="D9EAF7"/>
      </x:right>
      <x:bottom>
        <x:color rgb="D9EAF7"/>
      </x:bottom>
    </x:border>
    <x:border>
      <x:left>
        <x:color rgb="D9EAF7"/>
      </x:left>
      <x:bottom>
        <x:color rgb="D9EAF7"/>
      </x:bottom>
    </x:border>
    <x:border>
      <x:right>
        <x:color rgb="D9EAF7"/>
      </x:right>
      <x:top>
        <x:color rgb="D9EAF7"/>
      </x:top>
      <x:bottom>
        <x:color rgb="D9EAF7"/>
      </x:bottom>
    </x:border>
    <x:border>
      <x:left>
        <x:color rgb="D9EAF7"/>
      </x:left>
      <x:right>
        <x:color rgb="D9EAF7"/>
      </x:right>
      <x:top>
        <x:color rgb="D9EAF7"/>
      </x:top>
      <x:bottom>
        <x:color rgb="D9EAF7"/>
      </x:bottom>
    </x:border>
    <x:border>
      <x:left>
        <x:color rgb="D9EAF7"/>
      </x:left>
      <x:top>
        <x:color rgb="D9EAF7"/>
      </x:top>
      <x:bottom>
        <x:color rgb="D9EAF7"/>
      </x:bottom>
    </x:border>
    <x:border>
      <x:right>
        <x:color rgb="D9EAF7"/>
      </x:right>
      <x:top>
        <x:color rgb="D9EAF7"/>
      </x:top>
    </x:border>
    <x:border>
      <x:left>
        <x:color rgb="D9EAF7"/>
      </x:left>
      <x:right>
        <x:color rgb="D9EAF7"/>
      </x:right>
      <x:top>
        <x:color rgb="D9EAF7"/>
      </x:top>
    </x:border>
    <x:border>
      <x:left>
        <x:color rgb="D9EAF7"/>
      </x:left>
      <x:top>
        <x:color rgb="D9EAF7"/>
      </x:top>
    </x:border>
    <x:border>
      <x:right>
        <x:color rgb="D9EAF7"/>
      </x:right>
      <x:bottom>
        <x:color rgb="D9EAF7"/>
      </x:bottom>
    </x:border>
    <x:border>
      <x:left>
        <x:color rgb="D9EAF7"/>
      </x:left>
      <x:right>
        <x:color rgb="D9EAF7"/>
      </x:right>
      <x:bottom>
        <x:color rgb="D9EAF7"/>
      </x:bottom>
    </x:border>
    <x:border>
      <x:left>
        <x:color rgb="D9EAF7"/>
      </x:left>
      <x:bottom>
        <x:color rgb="D9EAF7"/>
      </x:bottom>
    </x:border>
    <x:border>
      <x:right>
        <x:color rgb="D9EAF7"/>
      </x:right>
      <x:top>
        <x:color rgb="D9EAF7"/>
      </x:top>
      <x:bottom>
        <x:color rgb="D9EAF7"/>
      </x:bottom>
    </x:border>
    <x:border>
      <x:left>
        <x:color rgb="D9EAF7"/>
      </x:left>
      <x:right>
        <x:color rgb="D9EAF7"/>
      </x:right>
      <x:top>
        <x:color rgb="D9EAF7"/>
      </x:top>
      <x:bottom>
        <x:color rgb="D9EAF7"/>
      </x:bottom>
    </x:border>
    <x:border>
      <x:left>
        <x:color rgb="D9EAF7"/>
      </x:left>
      <x:top>
        <x:color rgb="D9EAF7"/>
      </x:top>
      <x:bottom>
        <x:color rgb="D9EAF7"/>
      </x:bottom>
    </x:border>
    <x:border>
      <x:right>
        <x:color rgb="D9EAF7"/>
      </x:right>
      <x:top>
        <x:color rgb="D9EAF7"/>
      </x:top>
    </x:border>
    <x:border>
      <x:left>
        <x:color rgb="D9EAF7"/>
      </x:left>
      <x:right>
        <x:color rgb="D9EAF7"/>
      </x:right>
      <x:top>
        <x:color rgb="D9EAF7"/>
      </x:top>
    </x:border>
    <x:border>
      <x:left>
        <x:color rgb="D9EAF7"/>
      </x:left>
      <x:top>
        <x:color rgb="D9EAF7"/>
      </x:top>
    </x:border>
    <x:border>
      <x:right>
        <x:color rgb="BFBFBF"/>
      </x:right>
      <x:bottom>
        <x:color rgb="BFBFBF"/>
      </x:bottom>
    </x:border>
    <x:border>
      <x:left>
        <x:color rgb="BFBFBF"/>
      </x:left>
      <x:right>
        <x:color rgb="BFBFBF"/>
      </x:right>
      <x:bottom>
        <x:color rgb="BFBFBF"/>
      </x:bottom>
    </x:border>
    <x:border>
      <x:left>
        <x:color rgb="BFBFBF"/>
      </x:left>
      <x:bottom>
        <x:color rgb="BFBFBF"/>
      </x:bottom>
    </x:border>
    <x:border>
      <x:right>
        <x:color rgb="BFBFBF"/>
      </x:right>
      <x:top>
        <x:color rgb="BFBFBF"/>
      </x:top>
      <x:bottom>
        <x:color rgb="BFBFBF"/>
      </x:bottom>
    </x:border>
    <x:border>
      <x:left>
        <x:color rgb="BFBFBF"/>
      </x:left>
      <x:right>
        <x:color rgb="BFBFBF"/>
      </x:right>
      <x:top>
        <x:color rgb="BFBFBF"/>
      </x:top>
      <x:bottom>
        <x:color rgb="BFBFBF"/>
      </x:bottom>
    </x:border>
    <x:border>
      <x:left>
        <x:color rgb="BFBFBF"/>
      </x:left>
      <x:top>
        <x:color rgb="BFBFBF"/>
      </x:top>
      <x:bottom>
        <x:color rgb="BFBFBF"/>
      </x:bottom>
    </x:border>
    <x:border>
      <x:right>
        <x:color rgb="BFBFBF"/>
      </x:right>
      <x:bottom>
        <x:color rgb="BFBFBF"/>
      </x:bottom>
    </x:border>
    <x:border>
      <x:left>
        <x:color rgb="BFBFBF"/>
      </x:left>
      <x:right>
        <x:color rgb="BFBFBF"/>
      </x:right>
      <x:bottom>
        <x:color rgb="BFBFBF"/>
      </x:bottom>
    </x:border>
    <x:border>
      <x:left>
        <x:color rgb="BFBFBF"/>
      </x:left>
      <x:bottom>
        <x:color rgb="BFBFBF"/>
      </x:bottom>
    </x:border>
    <x:border>
      <x:right>
        <x:color rgb="BFBFBF"/>
      </x:right>
      <x:top>
        <x:color rgb="BFBFBF"/>
      </x:top>
      <x:bottom>
        <x:color rgb="BFBFBF"/>
      </x:bottom>
    </x:border>
    <x:border>
      <x:left>
        <x:color rgb="BFBFBF"/>
      </x:left>
      <x:right>
        <x:color rgb="BFBFBF"/>
      </x:right>
      <x:top>
        <x:color rgb="BFBFBF"/>
      </x:top>
      <x:bottom>
        <x:color rgb="BFBFBF"/>
      </x:bottom>
    </x:border>
    <x:border>
      <x:left>
        <x:color rgb="BFBFBF"/>
      </x:left>
      <x:top>
        <x:color rgb="BFBFBF"/>
      </x:top>
      <x:bottom>
        <x:color rgb="BFBFBF"/>
      </x:bottom>
    </x:border>
    <x:border>
      <x:right>
        <x:color rgb="BFBFBF"/>
      </x:right>
      <x:top>
        <x:color rgb="BFBFBF"/>
      </x:top>
    </x:border>
    <x:border>
      <x:left>
        <x:color rgb="BFBFBF"/>
      </x:left>
      <x:top>
        <x:color rgb="BFBFBF"/>
      </x:top>
    </x:border>
    <x:border>
      <x:right>
        <x:color rgb="BFBFBF"/>
      </x:right>
      <x:top>
        <x:color rgb="BFBFBF"/>
      </x:top>
    </x:border>
    <x:border>
      <x:left>
        <x:color rgb="BFBFBF"/>
      </x:left>
      <x:top>
        <x:color rgb="BFBFBF"/>
      </x:top>
    </x:border>
    <x:border>
      <x:left>
        <x:color rgb="BFBFBF"/>
      </x:left>
      <x:right>
        <x:color rgb="BFBFBF"/>
      </x:right>
      <x:top>
        <x:color rgb="BFBFBF"/>
      </x:top>
    </x:border>
    <x:border>
      <x:left>
        <x:color rgb="BFBFBF"/>
      </x:left>
      <x:right>
        <x:color rgb="BFBFBF"/>
      </x:right>
      <x:top>
        <x:color rgb="BFBFBF"/>
      </x:top>
    </x:border>
  </x:borders>
  <x:cellStyleXfs count="1">
    <x:xf numFmtId="0" fontId="0" fillId="0" borderId="0"/>
  </x:cellStyleXfs>
  <x:cellXfs count="2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200" fontId="0" fillId="0" borderId="3" xfId="0" applyNumberFormat="1" applyFont="1" applyFill="1" applyBorder="1"/>
    <x:xf numFmtId="200" fontId="0" fillId="0" borderId="6" xfId="0" applyNumberFormat="1" applyFont="1" applyFill="1" applyBorder="1"/>
    <x:xf numFmtId="200" fontId="0" fillId="0" borderId="9" xfId="0" applyNumberFormat="1" applyFont="1" applyFill="1" applyBorder="1"/>
    <x:xf numFmtId="200" fontId="0" fillId="0" borderId="12" xfId="0" applyNumberFormat="1" applyFont="1" applyFill="1" applyBorder="1"/>
    <x:xf numFmtId="200" fontId="0" fillId="0" borderId="15" xfId="0" applyNumberFormat="1" applyFont="1" applyFill="1" applyBorder="1"/>
    <x:xf numFmtId="200" fontId="0" fillId="0" borderId="18" xfId="0" applyNumberFormat="1" applyFont="1" applyFill="1" applyBorder="1"/>
    <x:xf numFmtId="201" fontId="0" fillId="0" borderId="3" xfId="0" applyNumberFormat="1" applyFont="1" applyFill="1" applyBorder="1"/>
    <x:xf numFmtId="201" fontId="0" fillId="0" borderId="6" xfId="0" applyNumberFormat="1" applyFont="1" applyFill="1" applyBorder="1"/>
    <x:xf numFmtId="201" fontId="0" fillId="0" borderId="9" xfId="0" applyNumberFormat="1" applyFont="1" applyFill="1" applyBorder="1"/>
    <x:xf numFmtId="201" fontId="0" fillId="0" borderId="12" xfId="0" applyNumberFormat="1" applyFont="1" applyFill="1" applyBorder="1"/>
    <x:xf numFmtId="201" fontId="0" fillId="0" borderId="15" xfId="0" applyNumberFormat="1" applyFont="1" applyFill="1" applyBorder="1"/>
    <x:xf numFmtId="201" fontId="0" fillId="0" borderId="18" xfId="0" applyNumberFormat="1" applyFont="1" applyFill="1" applyBorder="1"/>
    <x:xf numFmtId="202" fontId="0" fillId="0" borderId="3" xfId="0" applyNumberFormat="1" applyFont="1" applyFill="1" applyBorder="1"/>
    <x:xf numFmtId="202" fontId="0" fillId="0" borderId="6" xfId="0" applyNumberFormat="1" applyFont="1" applyFill="1" applyBorder="1"/>
    <x:xf numFmtId="202" fontId="0" fillId="0" borderId="9" xfId="0" applyNumberFormat="1" applyFont="1" applyFill="1" applyBorder="1"/>
    <x:xf numFmtId="202" fontId="0" fillId="0" borderId="12" xfId="0" applyNumberFormat="1" applyFont="1" applyFill="1" applyBorder="1"/>
    <x:xf numFmtId="202" fontId="0" fillId="0" borderId="15" xfId="0" applyNumberFormat="1" applyFont="1" applyFill="1" applyBorder="1"/>
    <x:xf numFmtId="202" fontId="0" fillId="0" borderId="18" xfId="0" applyNumberFormat="1" applyFont="1" applyFill="1" applyBorder="1"/>
    <x:xf numFmtId="203" fontId="0" fillId="0" borderId="3" xfId="0" applyNumberFormat="1" applyFont="1" applyFill="1" applyBorder="1"/>
    <x:xf numFmtId="203" fontId="0" fillId="0" borderId="6" xfId="0" applyNumberFormat="1" applyFont="1" applyFill="1" applyBorder="1"/>
    <x:xf numFmtId="203" fontId="0" fillId="0" borderId="9" xfId="0" applyNumberFormat="1" applyFont="1" applyFill="1" applyBorder="1"/>
    <x:xf numFmtId="203" fontId="0" fillId="0" borderId="12" xfId="0" applyNumberFormat="1" applyFont="1" applyFill="1" applyBorder="1"/>
    <x:xf numFmtId="203" fontId="0" fillId="0" borderId="15" xfId="0" applyNumberFormat="1" applyFont="1" applyFill="1" applyBorder="1"/>
    <x:xf numFmtId="203" fontId="0" fillId="0" borderId="18"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204" fontId="0" fillId="0" borderId="0" xfId="0" applyNumberFormat="1" applyFont="1" applyFill="1" applyBorder="1"/>
    <x:xf numFmtId="204"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0" fontId="1" fillId="3" borderId="20" xfId="0" applyNumberFormat="1" applyFont="1" applyFill="1" applyBorder="1" applyAlignment="1">
      <x:alignment horizontal="center"/>
    </x:xf>
    <x:xf numFmtId="0" fontId="1" fillId="3" borderId="21" xfId="0" applyNumberFormat="1" applyFont="1" applyFill="1" applyBorder="1" applyAlignment="1">
      <x:alignment horizontal="center"/>
    </x:xf>
    <x:xf numFmtId="0" fontId="1" fillId="3" borderId="22" xfId="0" applyNumberFormat="1" applyFont="1" applyFill="1" applyBorder="1" applyAlignment="1">
      <x:alignment horizontal="center"/>
    </x:xf>
    <x:xf numFmtId="204" fontId="0" fillId="0" borderId="23" xfId="0" applyNumberFormat="1" applyFont="1" applyFill="1" applyBorder="1"/>
    <x:xf numFmtId="201" fontId="0" fillId="0" borderId="24" xfId="0" applyNumberFormat="1" applyFont="1" applyFill="1" applyBorder="1"/>
    <x:xf numFmtId="203" fontId="0" fillId="0" borderId="25" xfId="0" applyNumberFormat="1" applyFont="1" applyFill="1" applyBorder="1"/>
    <x:xf numFmtId="0" fontId="1" fillId="3" borderId="26" xfId="0" applyNumberFormat="1" applyFont="1" applyFill="1" applyBorder="1" applyAlignment="1">
      <x:alignment horizontal="center"/>
    </x:xf>
    <x:xf numFmtId="0" fontId="1" fillId="3" borderId="27" xfId="0" applyNumberFormat="1" applyFont="1" applyFill="1" applyBorder="1" applyAlignment="1">
      <x:alignment horizontal="center"/>
    </x:xf>
    <x:xf numFmtId="0" fontId="1" fillId="3" borderId="28" xfId="0" applyNumberFormat="1" applyFont="1" applyFill="1" applyBorder="1" applyAlignment="1">
      <x:alignment horizontal="center"/>
    </x:xf>
    <x:xf numFmtId="204" fontId="0" fillId="0" borderId="29" xfId="0" applyNumberFormat="1" applyFont="1" applyFill="1" applyBorder="1"/>
    <x:xf numFmtId="201" fontId="0" fillId="0" borderId="30" xfId="0" applyNumberFormat="1" applyFont="1" applyFill="1" applyBorder="1"/>
    <x:xf numFmtId="203" fontId="0" fillId="0" borderId="3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201" fontId="4" fillId="5" borderId="0" xfId="0" applyNumberFormat="1" applyFont="1" applyFill="1" applyBorder="1" applyAlignment="1">
      <x:alignment horizontal="center"/>
    </x:xf>
    <x:xf numFmtId="201" fontId="4" fillId="5" borderId="1" xfId="0" applyNumberFormat="1" applyFont="1" applyFill="1" applyBorder="1" applyAlignment="1">
      <x:alignment horizontal="center"/>
    </x:xf>
    <x:xf numFmtId="203" fontId="4" fillId="5" borderId="0" xfId="0" applyNumberFormat="1" applyFont="1" applyFill="1" applyBorder="1" applyAlignment="1">
      <x:alignment horizontal="center"/>
    </x:xf>
    <x:xf numFmtId="203" fontId="4" fillId="5" borderId="1"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horizont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0" fillId="7" borderId="1" xfId="0" applyNumberFormat="1" applyFont="1" applyFill="1" applyBorder="1"/>
    <x:xf numFmtId="0" fontId="4" fillId="7" borderId="1" xfId="0" applyNumberFormat="1" applyFont="1" applyFill="1" applyBorder="1"/>
    <x:xf numFmtId="0" fontId="4" fillId="7" borderId="1" xfId="0" applyNumberFormat="1" applyFont="1" applyFill="1" applyBorder="1" applyAlignment="1">
      <x:alignment horizontal="center"/>
    </x:xf>
    <x:xf numFmtId="201" fontId="4" fillId="7" borderId="0" xfId="0" applyNumberFormat="1" applyFont="1" applyFill="1" applyBorder="1" applyAlignment="1">
      <x:alignment horizontal="center"/>
    </x:xf>
    <x:xf numFmtId="201" fontId="4" fillId="7" borderId="1" xfId="0" applyNumberFormat="1" applyFont="1" applyFill="1" applyBorder="1" applyAlignment="1">
      <x:alignment horizontal="center"/>
    </x:xf>
    <x:xf numFmtId="0" fontId="5" fillId="7" borderId="0" xfId="0" applyNumberFormat="1" applyFont="1" applyFill="1" applyBorder="1"/>
    <x:xf numFmtId="0" fontId="5" fillId="7" borderId="0" xfId="0" applyNumberFormat="1" applyFont="1" applyFill="1" applyBorder="1" applyAlignment="1">
      <x:alignment horizontal="center"/>
    </x:xf>
    <x:xf numFmtId="0" fontId="5" fillId="7" borderId="1" xfId="0" applyNumberFormat="1" applyFont="1" applyFill="1" applyBorder="1"/>
    <x:xf numFmtId="0" fontId="5" fillId="7" borderId="1" xfId="0" applyNumberFormat="1" applyFont="1" applyFill="1" applyBorder="1" applyAlignment="1">
      <x:alignment horizontal="center"/>
    </x:xf>
    <x:xf numFmtId="205" fontId="4" fillId="7" borderId="0" xfId="0" applyNumberFormat="1" applyFont="1" applyFill="1" applyBorder="1" applyAlignment="1">
      <x:alignment horizontal="center"/>
    </x:xf>
    <x:xf numFmtId="205" fontId="4" fillId="7" borderId="1" xfId="0" applyNumberFormat="1" applyFont="1" applyFill="1" applyBorder="1" applyAlignment="1">
      <x:alignment horizontal="center"/>
    </x:xf>
    <x:xf numFmtId="206" fontId="0" fillId="0" borderId="0" xfId="0" applyNumberFormat="1" applyFont="1" applyFill="1" applyBorder="1"/>
    <x:xf numFmtId="206" fontId="0" fillId="0" borderId="1" xfId="0" applyNumberFormat="1" applyFont="1" applyFill="1" applyBorder="1"/>
    <x:xf numFmtId="206" fontId="0" fillId="0" borderId="23" xfId="0" applyNumberFormat="1" applyFont="1" applyFill="1" applyBorder="1"/>
    <x:xf numFmtId="201" fontId="0" fillId="0" borderId="25" xfId="0" applyNumberFormat="1" applyFont="1" applyFill="1" applyBorder="1"/>
    <x:xf numFmtId="206" fontId="0" fillId="0" borderId="32" xfId="0" applyNumberFormat="1" applyFont="1" applyFill="1" applyBorder="1"/>
    <x:xf numFmtId="201" fontId="0" fillId="0" borderId="33" xfId="0" applyNumberFormat="1" applyFont="1" applyFill="1" applyBorder="1"/>
    <x:xf numFmtId="206" fontId="0" fillId="0" borderId="29" xfId="0" applyNumberFormat="1" applyFont="1" applyFill="1" applyBorder="1"/>
    <x:xf numFmtId="201" fontId="0" fillId="0" borderId="31" xfId="0" applyNumberFormat="1" applyFont="1" applyFill="1" applyBorder="1"/>
    <x:xf numFmtId="206" fontId="0" fillId="0" borderId="34" xfId="0" applyNumberFormat="1" applyFont="1" applyFill="1" applyBorder="1"/>
    <x:xf numFmtId="201" fontId="0" fillId="0" borderId="35"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32" xfId="0" applyNumberFormat="1" applyFont="1" applyFill="1" applyBorder="1"/>
    <x:xf numFmtId="0" fontId="0" fillId="0" borderId="36" xfId="0" applyNumberFormat="1" applyFont="1" applyFill="1" applyBorder="1"/>
    <x:xf numFmtId="0" fontId="0" fillId="0" borderId="29" xfId="0" applyNumberFormat="1" applyFont="1" applyFill="1" applyBorder="1"/>
    <x:xf numFmtId="0" fontId="0" fillId="0" borderId="30" xfId="0" applyNumberFormat="1" applyFont="1" applyFill="1" applyBorder="1"/>
    <x:xf numFmtId="0" fontId="0" fillId="0" borderId="34" xfId="0" applyNumberFormat="1" applyFont="1" applyFill="1" applyBorder="1"/>
    <x:xf numFmtId="0" fontId="0" fillId="0" borderId="37" xfId="0" applyNumberFormat="1" applyFont="1" applyFill="1" applyBorder="1"/>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0" fillId="8" borderId="1" xfId="0" applyNumberFormat="1" applyFont="1" applyFill="1" applyBorder="1"/>
    <x:xf numFmtId="0" fontId="6" fillId="8" borderId="1" xfId="0" applyNumberFormat="1" applyFont="1" applyFill="1" applyBorder="1"/>
    <x:xf numFmtId="0" fontId="6" fillId="8"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3" fontId="0" fillId="0" borderId="23" xfId="0" applyNumberFormat="1" applyFont="1" applyFill="1" applyBorder="1"/>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203" fontId="0" fillId="0" borderId="32" xfId="0" applyNumberFormat="1" applyFont="1" applyFill="1" applyBorder="1"/>
    <x:xf numFmtId="0" fontId="0" fillId="0" borderId="36" xfId="0" applyNumberFormat="1" applyFont="1" applyFill="1" applyBorder="1" applyAlignment="1">
      <x:alignment wrapText="1"/>
    </x:xf>
    <x:xf numFmtId="0" fontId="0" fillId="0" borderId="33" xfId="0" applyNumberFormat="1" applyFont="1" applyFill="1" applyBorder="1" applyAlignment="1">
      <x:alignment wrapText="1"/>
    </x:xf>
    <x:xf numFmtId="203" fontId="0" fillId="0" borderId="29" xfId="0" applyNumberFormat="1" applyFont="1" applyFill="1" applyBorder="1"/>
    <x:xf numFmtId="0" fontId="0" fillId="0" borderId="30" xfId="0" applyNumberFormat="1" applyFont="1" applyFill="1" applyBorder="1" applyAlignment="1">
      <x:alignment wrapText="1"/>
    </x:xf>
    <x:xf numFmtId="0" fontId="0" fillId="0" borderId="31" xfId="0" applyNumberFormat="1" applyFont="1" applyFill="1" applyBorder="1" applyAlignment="1">
      <x:alignment wrapText="1"/>
    </x:xf>
    <x:xf numFmtId="203" fontId="0" fillId="0" borderId="34" xfId="0" applyNumberFormat="1" applyFont="1" applyFill="1" applyBorder="1"/>
    <x:xf numFmtId="0" fontId="0" fillId="0" borderId="37" xfId="0" applyNumberFormat="1" applyFont="1" applyFill="1" applyBorder="1" applyAlignment="1">
      <x:alignment wrapText="1"/>
    </x:xf>
    <x:xf numFmtId="0" fontId="0" fillId="0" borderId="35" xfId="0" applyNumberFormat="1" applyFont="1" applyFill="1" applyBorder="1" applyAlignment="1">
      <x:alignment wrapText="1"/>
    </x:xf>
    <x:xf numFmtId="0" fontId="6" fillId="4" borderId="0" xfId="0" applyNumberFormat="1" applyFont="1" applyFill="1" applyBorder="1"/>
    <x:xf numFmtId="0" fontId="6" fillId="4" borderId="1" xfId="0" applyNumberFormat="1" applyFont="1" applyFill="1" applyBorder="1"/>
    <x:xf numFmtId="207" fontId="0" fillId="0" borderId="23" xfId="0" applyNumberFormat="1" applyFont="1" applyFill="1" applyBorder="1"/>
    <x:xf numFmtId="207" fontId="0" fillId="0" borderId="32" xfId="0" applyNumberFormat="1" applyFont="1" applyFill="1" applyBorder="1"/>
    <x:xf numFmtId="207" fontId="0" fillId="0" borderId="29" xfId="0" applyNumberFormat="1" applyFont="1" applyFill="1" applyBorder="1"/>
    <x:xf numFmtId="207" fontId="0" fillId="0" borderId="34" xfId="0" applyNumberFormat="1" applyFont="1" applyFill="1" applyBorder="1"/>
    <x:xf numFmtId="205" fontId="0" fillId="0" borderId="0" xfId="0" applyNumberFormat="1" applyFont="1" applyFill="1" applyBorder="1"/>
    <x:xf numFmtId="205" fontId="0" fillId="0" borderId="1" xfId="0" applyNumberFormat="1" applyFont="1" applyFill="1" applyBorder="1"/>
    <x:xf numFmtId="0" fontId="0"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horizontal="center"/>
    </x:xf>
    <x:xf numFmtId="0" fontId="6" fillId="9" borderId="0" xfId="0" applyNumberFormat="1" applyFont="1" applyFill="1" applyBorder="1" applyAlignment="1">
      <x:alignment horizontal="center" vertical="center"/>
    </x:xf>
    <x:xf numFmtId="0" fontId="0" fillId="9" borderId="1" xfId="0" applyNumberFormat="1" applyFont="1" applyFill="1" applyBorder="1"/>
    <x:xf numFmtId="0" fontId="6" fillId="9" borderId="1" xfId="0" applyNumberFormat="1" applyFont="1" applyFill="1" applyBorder="1"/>
    <x:xf numFmtId="0" fontId="6" fillId="9" borderId="1" xfId="0" applyNumberFormat="1" applyFont="1" applyFill="1" applyBorder="1" applyAlignment="1">
      <x:alignment horizontal="center"/>
    </x:xf>
    <x:xf numFmtId="0" fontId="6" fillId="9" borderId="1" xfId="0" applyNumberFormat="1" applyFont="1" applyFill="1" applyBorder="1" applyAlignment="1">
      <x:alignment horizontal="center" vertical="center"/>
    </x:xf>
    <x:xf numFmtId="0" fontId="0" fillId="10" borderId="0" xfId="0" applyNumberFormat="1" applyFont="1" applyFill="1" applyBorder="1" applyAlignment="1">
      <x:alignment wrapText="1"/>
    </x:xf>
    <x:xf numFmtId="0" fontId="0" fillId="10" borderId="0" xfId="0" applyNumberFormat="1" applyFont="1" applyFill="1" applyBorder="1" applyAlignment="1">
      <x:alignment vertical="center" wrapText="1"/>
    </x:xf>
    <x:xf numFmtId="0" fontId="0" fillId="10" borderId="1" xfId="0" applyNumberFormat="1" applyFont="1" applyFill="1" applyBorder="1" applyAlignment="1">
      <x:alignment wrapText="1"/>
    </x:xf>
    <x:xf numFmtId="0" fontId="0" fillId="10" borderId="1" xfId="0" applyNumberFormat="1" applyFont="1" applyFill="1" applyBorder="1" applyAlignment="1">
      <x:alignment vertical="center" wrapText="1"/>
    </x:xf>
    <x:xf numFmtId="0" fontId="6" fillId="9" borderId="20" xfId="0" applyNumberFormat="1" applyFont="1" applyFill="1" applyBorder="1" applyAlignment="1">
      <x:alignment horizontal="center" vertical="center"/>
    </x:xf>
    <x:xf numFmtId="0" fontId="0" fillId="10" borderId="21" xfId="0" applyNumberFormat="1" applyFont="1" applyFill="1" applyBorder="1" applyAlignment="1">
      <x:alignment vertical="center" wrapText="1"/>
    </x:xf>
    <x:xf numFmtId="0" fontId="0" fillId="0" borderId="21" xfId="0" applyNumberFormat="1" applyFont="1" applyFill="1" applyBorder="1"/>
    <x:xf numFmtId="0" fontId="0" fillId="0" borderId="22" xfId="0" applyNumberFormat="1" applyFont="1" applyFill="1" applyBorder="1"/>
    <x:xf numFmtId="0" fontId="6" fillId="9" borderId="23" xfId="0" applyNumberFormat="1" applyFont="1" applyFill="1" applyBorder="1" applyAlignment="1">
      <x:alignment horizontal="center" vertical="center"/>
    </x:xf>
    <x:xf numFmtId="0" fontId="0" fillId="10" borderId="24" xfId="0" applyNumberFormat="1" applyFont="1" applyFill="1" applyBorder="1" applyAlignment="1">
      <x:alignment vertical="center" wrapText="1"/>
    </x:xf>
    <x:xf numFmtId="0" fontId="0" fillId="0" borderId="25" xfId="0" applyNumberFormat="1" applyFont="1" applyFill="1" applyBorder="1"/>
    <x:xf numFmtId="0" fontId="6" fillId="9" borderId="32" xfId="0" applyNumberFormat="1" applyFont="1" applyFill="1" applyBorder="1" applyAlignment="1">
      <x:alignment horizontal="center" vertical="center"/>
    </x:xf>
    <x:xf numFmtId="0" fontId="0" fillId="10" borderId="36" xfId="0" applyNumberFormat="1" applyFont="1" applyFill="1" applyBorder="1" applyAlignment="1">
      <x:alignment vertical="center" wrapText="1"/>
    </x:xf>
    <x:xf numFmtId="0" fontId="0" fillId="0" borderId="33" xfId="0" applyNumberFormat="1" applyFont="1" applyFill="1" applyBorder="1"/>
    <x:xf numFmtId="0" fontId="6" fillId="9" borderId="26" xfId="0" applyNumberFormat="1" applyFont="1" applyFill="1" applyBorder="1" applyAlignment="1">
      <x:alignment horizontal="center" vertical="center"/>
    </x:xf>
    <x:xf numFmtId="0" fontId="0" fillId="10" borderId="27" xfId="0" applyNumberFormat="1" applyFont="1" applyFill="1" applyBorder="1" applyAlignment="1">
      <x:alignment vertical="center" wrapText="1"/>
    </x:xf>
    <x:xf numFmtId="0" fontId="0" fillId="0" borderId="27" xfId="0" applyNumberFormat="1" applyFont="1" applyFill="1" applyBorder="1"/>
    <x:xf numFmtId="0" fontId="0" fillId="0" borderId="28" xfId="0" applyNumberFormat="1" applyFont="1" applyFill="1" applyBorder="1"/>
    <x:xf numFmtId="0" fontId="6" fillId="9" borderId="29" xfId="0" applyNumberFormat="1" applyFont="1" applyFill="1" applyBorder="1" applyAlignment="1">
      <x:alignment horizontal="center" vertical="center"/>
    </x:xf>
    <x:xf numFmtId="0" fontId="0" fillId="10" borderId="30" xfId="0" applyNumberFormat="1" applyFont="1" applyFill="1" applyBorder="1" applyAlignment="1">
      <x:alignment vertical="center" wrapText="1"/>
    </x:xf>
    <x:xf numFmtId="0" fontId="0" fillId="0" borderId="31" xfId="0" applyNumberFormat="1" applyFont="1" applyFill="1" applyBorder="1"/>
    <x:xf numFmtId="0" fontId="6" fillId="9" borderId="34" xfId="0" applyNumberFormat="1" applyFont="1" applyFill="1" applyBorder="1" applyAlignment="1">
      <x:alignment horizontal="center" vertical="center"/>
    </x:xf>
    <x:xf numFmtId="0" fontId="0" fillId="10" borderId="37" xfId="0" applyNumberFormat="1" applyFont="1" applyFill="1" applyBorder="1" applyAlignment="1">
      <x:alignment vertical="center" wrapText="1"/>
    </x:xf>
    <x:xf numFmtId="0" fontId="0" fillId="0" borderId="35" xfId="0" applyNumberFormat="1" applyFont="1" applyFill="1" applyBorder="1"/>
    <x:xf numFmtId="201" fontId="0" fillId="5" borderId="0" xfId="0" applyNumberFormat="1" applyFont="1" applyFill="1" applyBorder="1"/>
    <x:xf numFmtId="201" fontId="4" fillId="5" borderId="0" xfId="0" applyNumberFormat="1" applyFont="1" applyFill="1" applyBorder="1"/>
    <x:xf numFmtId="201" fontId="0" fillId="5" borderId="1" xfId="0" applyNumberFormat="1" applyFont="1" applyFill="1" applyBorder="1"/>
    <x:xf numFmtId="201" fontId="4" fillId="5" borderId="1" xfId="0" applyNumberFormat="1" applyFont="1" applyFill="1" applyBorder="1"/>
    <x:xf numFmtId="203" fontId="0" fillId="5" borderId="0" xfId="0" applyNumberFormat="1" applyFont="1" applyFill="1" applyBorder="1"/>
    <x:xf numFmtId="203" fontId="4" fillId="5" borderId="0" xfId="0" applyNumberFormat="1" applyFont="1" applyFill="1" applyBorder="1"/>
    <x:xf numFmtId="203" fontId="0" fillId="5" borderId="1" xfId="0" applyNumberFormat="1" applyFont="1" applyFill="1" applyBorder="1"/>
    <x:xf numFmtId="203" fontId="4" fillId="5" borderId="1" xfId="0" applyNumberFormat="1" applyFont="1" applyFill="1" applyBorder="1"/>
    <x:xf numFmtId="201" fontId="0" fillId="7" borderId="0" xfId="0" applyNumberFormat="1" applyFont="1" applyFill="1" applyBorder="1"/>
    <x:xf numFmtId="201" fontId="7" fillId="7" borderId="0" xfId="0" applyNumberFormat="1" applyFont="1" applyFill="1" applyBorder="1" applyAlignment="1">
      <x:alignment horizontal="center"/>
    </x:xf>
    <x:xf numFmtId="201" fontId="7" fillId="7" borderId="0" xfId="0" applyNumberFormat="1" applyFont="1" applyFill="1" applyBorder="1"/>
    <x:xf numFmtId="201" fontId="0" fillId="7" borderId="1" xfId="0" applyNumberFormat="1" applyFont="1" applyFill="1" applyBorder="1"/>
    <x:xf numFmtId="201" fontId="7" fillId="7" borderId="1" xfId="0" applyNumberFormat="1" applyFont="1" applyFill="1" applyBorder="1" applyAlignment="1">
      <x:alignment horizontal="center"/>
    </x:xf>
    <x:xf numFmtId="201" fontId="7" fillId="7" borderId="1" xfId="0" applyNumberFormat="1" applyFont="1" applyFill="1" applyBorder="1"/>
    <x:xf numFmtId="0" fontId="7" fillId="7" borderId="0" xfId="0" applyNumberFormat="1" applyFont="1" applyFill="1" applyBorder="1" applyAlignment="1">
      <x:alignment horizontal="center"/>
    </x:xf>
    <x:xf numFmtId="0" fontId="7" fillId="7" borderId="0" xfId="0" applyNumberFormat="1" applyFont="1" applyFill="1" applyBorder="1"/>
    <x:xf numFmtId="0" fontId="7" fillId="7" borderId="1" xfId="0" applyNumberFormat="1" applyFont="1" applyFill="1" applyBorder="1" applyAlignment="1">
      <x:alignment horizontal="center"/>
    </x:xf>
    <x:xf numFmtId="0" fontId="7" fillId="7" borderId="1" xfId="0" applyNumberFormat="1" applyFont="1" applyFill="1" applyBorder="1"/>
    <x:xf numFmtId="205" fontId="0" fillId="7" borderId="0" xfId="0" applyNumberFormat="1" applyFont="1" applyFill="1" applyBorder="1"/>
    <x:xf numFmtId="205" fontId="7" fillId="7" borderId="0" xfId="0" applyNumberFormat="1" applyFont="1" applyFill="1" applyBorder="1" applyAlignment="1">
      <x:alignment horizontal="center"/>
    </x:xf>
    <x:xf numFmtId="205" fontId="7" fillId="7" borderId="0" xfId="0" applyNumberFormat="1" applyFont="1" applyFill="1" applyBorder="1"/>
    <x:xf numFmtId="205" fontId="0" fillId="7" borderId="1" xfId="0" applyNumberFormat="1" applyFont="1" applyFill="1" applyBorder="1"/>
    <x:xf numFmtId="205" fontId="7" fillId="7" borderId="1" xfId="0" applyNumberFormat="1" applyFont="1" applyFill="1" applyBorder="1" applyAlignment="1">
      <x:alignment horizontal="center"/>
    </x:xf>
    <x:xf numFmtId="205" fontId="7" fillId="7" borderId="1" xfId="0" applyNumberFormat="1" applyFont="1" applyFill="1" applyBorder="1"/>
    <x:xf numFmtId="201" fontId="7" fillId="5" borderId="0" xfId="0" applyNumberFormat="1" applyFont="1" applyFill="1" applyBorder="1" applyAlignment="1">
      <x:alignment horizontal="center"/>
    </x:xf>
    <x:xf numFmtId="201" fontId="7" fillId="5" borderId="1" xfId="0" applyNumberFormat="1" applyFont="1" applyFill="1" applyBorder="1" applyAlignment="1">
      <x:alignment horizontal="center"/>
    </x:xf>
    <x:xf numFmtId="203" fontId="7" fillId="5" borderId="0" xfId="0" applyNumberFormat="1" applyFont="1" applyFill="1" applyBorder="1" applyAlignment="1">
      <x:alignment horizontal="center"/>
    </x:xf>
    <x:xf numFmtId="203" fontId="7" fillId="5"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f1a15be0b34051" /><Relationship Type="http://schemas.openxmlformats.org/officeDocument/2006/relationships/theme" Target="/xl/theme/theme1.xml" Id="Ra6ac41f57cbd4bc1" /><Relationship Type="http://schemas.openxmlformats.org/officeDocument/2006/relationships/sharedStrings" Target="/xl/sharedStrings.xml" Id="R9c52925cc67a437c" /><Relationship Type="http://schemas.openxmlformats.org/officeDocument/2006/relationships/worksheet" Target="/xl/worksheets/sheet1.xml" Id="R54774a7b5fc34b19" /><Relationship Type="http://schemas.openxmlformats.org/officeDocument/2006/relationships/worksheet" Target="/xl/worksheets/sheet2.xml" Id="Ra373c198e56e4091" /><Relationship Type="http://schemas.openxmlformats.org/officeDocument/2006/relationships/worksheet" Target="/xl/worksheets/sheet3.xml" Id="Rbe3f3f691b75490c" /><Relationship Type="http://schemas.openxmlformats.org/officeDocument/2006/relationships/worksheet" Target="/xl/worksheets/sheet4.xml" Id="Ra44eeb3a4e47482f" /><Relationship Type="http://schemas.openxmlformats.org/officeDocument/2006/relationships/worksheet" Target="/xl/worksheets/sheet5.xml" Id="R815ff42acf1d4953" /><Relationship Type="http://schemas.openxmlformats.org/officeDocument/2006/relationships/worksheet" Target="/xl/worksheets/sheet6.xml" Id="R8da98f4174444bd1" /><Relationship Type="http://schemas.openxmlformats.org/officeDocument/2006/relationships/worksheet" Target="/xl/worksheets/sheet7.xml" Id="R1dee0aaf6f104348" /><Relationship Type="http://schemas.openxmlformats.org/officeDocument/2006/relationships/worksheet" Target="/xl/worksheets/sheet8.xml" Id="R73c426f6f75c45fa" /></Relationships>
</file>

<file path=xl/drawings/_rels/drawing1.xml.rels>&#65279;<?xml version="1.0" encoding="utf-8"?><Relationships xmlns="http://schemas.openxmlformats.org/package/2006/relationships"><Relationship Type="http://schemas.openxmlformats.org/officeDocument/2006/relationships/chart" Target="/xl/drawings/charts/chart1.xml" Id="R4783c3d60c5740ad" /><Relationship Type="http://schemas.openxmlformats.org/officeDocument/2006/relationships/chart" Target="/xl/drawings/charts/chart2.xml" Id="Re3ddd3bf83d9458d" /></Relationships>
</file>

<file path=xl/drawings/charts/chart1.xml><?xml version="1.0" encoding="utf-8"?>
<c:chartSpace xmlns:c="http://schemas.openxmlformats.org/drawingml/2006/chart">
  <c:lang val="en-US"/>
  <c:roundedCorners val="0"/>
  <c:chart>
    <c:plotArea>
      <c:layout/>
      <c:barChart>
        <c:barDir val="col"/>
        <c:grouping val="clustered"/>
        <c:varyColors val="0"/>
        <c:ser>
          <c:idx val="0"/>
          <c:order val="0"/>
          <c:tx>
            <c:v>Sales</c:v>
          </c:tx>
          <c:cat>
            <c:strRef>
              <c:f>'Chart_Data'!$A$2:$A$13</c:f>
              <c:strCache>
                <c:ptCount val="0"/>
              </c:strCache>
            </c:strRef>
          </c:cat>
          <c:val>
            <c:numRef>
              <c:f>'Chart_Data'!$B$2:$B$13</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plotArea>
      <c:layout/>
      <c:barChart>
        <c:barDir val="bar"/>
        <c:grouping val="clustered"/>
        <c:varyColors val="0"/>
        <c:ser>
          <c:idx val="0"/>
          <c:order val="0"/>
          <c:tx>
            <c:v>Sales</c:v>
          </c:tx>
          <c:cat>
            <c:strRef>
              <c:f>'Chart_Data'!$D$2:$D$6</c:f>
              <c:strCache>
                <c:ptCount val="0"/>
              </c:strCache>
            </c:strRef>
          </c:cat>
          <c:val>
            <c:numRef>
              <c:f>'Chart_Data'!$E$2:$E$6</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oneCellAnchor>
    <xdr:from>
      <xdr:col>7</xdr:col>
      <xdr:colOff>0</xdr:colOff>
      <xdr:row>9</xdr:row>
      <xdr:rowOff>0</xdr:rowOff>
    </xdr:from>
    <xdr:ext cx="4953000" cy="2857500"/>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783c3d60c5740ad"/>
        </a:graphicData>
      </a:graphic>
    </xdr:graphicFrame>
    <xdr:clientData/>
  </xdr:oneCellAnchor>
  <xdr:oneCellAnchor>
    <xdr:from>
      <xdr:col>7</xdr:col>
      <xdr:colOff>0</xdr:colOff>
      <xdr:row>26</xdr:row>
      <xdr:rowOff>0</xdr:rowOff>
    </xdr:from>
    <xdr:ext cx="4953000" cy="2857500"/>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3ddd3bf83d9458d"/>
        </a:graphicData>
      </a:graphic>
    </xdr:graphicFrame>
    <xdr:clientData/>
  </xdr:oneCellAnchor>
</xdr:wsDr>
</file>

<file path=xl/tables/table1.xml><?xml version="1.0" encoding="utf-8"?>
<x:table xmlns:x="http://schemas.openxmlformats.org/spreadsheetml/2006/main" id="1" name="SalesRawTable" displayName="SalesRawTable" ref="A1:N301" headerRowCount="1">
  <x:tableColumns count="14">
    <x:tableColumn id="1" name="Order ID"/>
    <x:tableColumn id="2" name="Order Date"/>
    <x:tableColumn id="3" name="Month"/>
    <x:tableColumn id="4" name="City"/>
    <x:tableColumn id="5" name="Region"/>
    <x:tableColumn id="6" name="Category"/>
    <x:tableColumn id="7" name="Product"/>
    <x:tableColumn id="8" name="Quantity"/>
    <x:tableColumn id="9" name="Unit Price"/>
    <x:tableColumn id="10" name="Discount %"/>
    <x:tableColumn id="11" name="Sales"/>
    <x:tableColumn id="12" name="Profit"/>
    <x:tableColumn id="13" name="Payment Mode"/>
    <x:tableColumn id="14" name="Customer Segment"/>
  </x:tableColumns>
  <x:tableStyleInfo name="TableStyleMedium2" showRowStripes="1"/>
</x:table>
</file>

<file path=xl/tables/table2.xml><?xml version="1.0" encoding="utf-8"?>
<x:table xmlns:x="http://schemas.openxmlformats.org/spreadsheetml/2006/main" id="2" name="MonthlyTable" displayName="MonthlyTable" ref="A3:D15" headerRowCount="1">
  <x:tableColumns count="4">
    <x:tableColumn id="1" name="Month"/>
    <x:tableColumn id="2" name="Revenue"/>
    <x:tableColumn id="3" name="Profit"/>
    <x:tableColumn id="4" name="Units Sold"/>
  </x:tableColumns>
  <x:tableStyleInfo name="TableStyleMedium2" showRowStripes="1"/>
</x:table>
</file>

<file path=xl/tables/table3.xml><?xml version="1.0" encoding="utf-8"?>
<x:table xmlns:x="http://schemas.openxmlformats.org/spreadsheetml/2006/main" id="3" name="ProductTable" displayName="ProductTable" ref="A3:D18" headerRowCount="1">
  <x:tableColumns count="4">
    <x:tableColumn id="1" name="Product"/>
    <x:tableColumn id="2" name="Revenue"/>
    <x:tableColumn id="3" name="Units Sold"/>
    <x:tableColumn id="4" name="Rank"/>
  </x:tableColumns>
  <x:tableStyleInfo name="TableStyleMedium2" showRowStripes="1"/>
</x:table>
</file>

<file path=xl/tables/table4.xml><?xml version="1.0" encoding="utf-8"?>
<x:table xmlns:x="http://schemas.openxmlformats.org/spreadsheetml/2006/main" id="4" name="CityTable" displayName="CityTable" ref="A3:D13" headerRowCount="1">
  <x:tableColumns count="4">
    <x:tableColumn id="1" name="City"/>
    <x:tableColumn id="2" name="Revenue"/>
    <x:tableColumn id="3" name="Orders"/>
    <x:tableColumn id="4" name="Rank"/>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77f54eb921044c0" /></Relationships>
</file>

<file path=xl/worksheets/_rels/sheet2.xml.rels>&#65279;<?xml version="1.0" encoding="utf-8"?><Relationships xmlns="http://schemas.openxmlformats.org/package/2006/relationships"><Relationship Type="http://schemas.openxmlformats.org/officeDocument/2006/relationships/drawing" Target="/xl/drawings/drawing1.xml" Id="R70071640fb7244b7" /></Relationships>
</file>

<file path=xl/worksheets/_rels/sheet3.xml.rels>&#65279;<?xml version="1.0" encoding="utf-8"?><Relationships xmlns="http://schemas.openxmlformats.org/package/2006/relationships"><Relationship Type="http://schemas.openxmlformats.org/officeDocument/2006/relationships/table" Target="/xl/tables/table2.xml" Id="Rf8cca224d9ad4f0c" /></Relationships>
</file>

<file path=xl/worksheets/_rels/sheet4.xml.rels>&#65279;<?xml version="1.0" encoding="utf-8"?><Relationships xmlns="http://schemas.openxmlformats.org/package/2006/relationships"><Relationship Type="http://schemas.openxmlformats.org/officeDocument/2006/relationships/table" Target="/xl/tables/table3.xml" Id="Rbbebcc6fdc6e48da" /></Relationships>
</file>

<file path=xl/worksheets/_rels/sheet5.xml.rels>&#65279;<?xml version="1.0" encoding="utf-8"?><Relationships xmlns="http://schemas.openxmlformats.org/package/2006/relationships"><Relationship Type="http://schemas.openxmlformats.org/officeDocument/2006/relationships/table" Target="/xl/tables/table4.xml" Id="Rd2d4930e02e04682" /></Relationships>
</file>

<file path=xl/worksheets/sheet1.xml><?xml version="1.0" encoding="utf-8"?>
<x:worksheet xmlns:x="http://schemas.openxmlformats.org/spreadsheetml/2006/main">
  <x:sheetFormatPr defaultRowHeight="15"/>
  <x:cols>
    <x:col min="1" max="1" width="13" hidden="0" customWidth="1"/>
    <x:col min="2" max="2" width="13" hidden="0" customWidth="1"/>
    <x:col min="3" max="3" width="12" hidden="0" customWidth="1"/>
    <x:col min="4" max="4" width="14" hidden="0" customWidth="1"/>
    <x:col min="5" max="5" width="12" hidden="0" customWidth="1"/>
    <x:col min="6" max="6" width="16" hidden="0" customWidth="1"/>
    <x:col min="7" max="7" width="20" hidden="0" customWidth="1"/>
    <x:col min="8" max="8" width="10" hidden="0" customWidth="1"/>
    <x:col min="9" max="9" width="12" hidden="0" customWidth="1"/>
    <x:col min="10" max="10" width="11" hidden="0" customWidth="1"/>
    <x:col min="11" max="11" width="13" hidden="0" customWidth="1"/>
    <x:col min="12" max="12" width="13" hidden="0" customWidth="1"/>
    <x:col min="13" max="13" width="15" hidden="0" customWidth="1"/>
    <x:col min="14" max="14" width="17" hidden="0" customWidth="1"/>
  </x:cols>
  <x:sheetData>
    <x:row r="1" ht="24" customHeight="1">
      <x:c r="A1" s="5" t="str">
        <x:v>Order ID</x:v>
      </x:c>
      <x:c r="B1" s="5" t="str">
        <x:v>Order Date</x:v>
      </x:c>
      <x:c r="C1" s="5" t="str">
        <x:v>Month</x:v>
      </x:c>
      <x:c r="D1" s="5" t="str">
        <x:v>City</x:v>
      </x:c>
      <x:c r="E1" s="5" t="str">
        <x:v>Region</x:v>
      </x:c>
      <x:c r="F1" s="5" t="str">
        <x:v>Category</x:v>
      </x:c>
      <x:c r="G1" s="5" t="str">
        <x:v>Product</x:v>
      </x:c>
      <x:c r="H1" s="5" t="str">
        <x:v>Quantity</x:v>
      </x:c>
      <x:c r="I1" s="5" t="str">
        <x:v>Unit Price</x:v>
      </x:c>
      <x:c r="J1" s="5" t="str">
        <x:v>Discount %</x:v>
      </x:c>
      <x:c r="K1" s="5" t="str">
        <x:v>Sales</x:v>
      </x:c>
      <x:c r="L1" s="5" t="str">
        <x:v>Profit</x:v>
      </x:c>
      <x:c r="M1" s="5" t="str">
        <x:v>Payment Mode</x:v>
      </x:c>
      <x:c r="N1" s="5" t="str">
        <x:v>Customer Segment</x:v>
      </x:c>
    </x:row>
    <x:row r="2">
      <x:c r="A2" s="10" t="str">
        <x:v>ORD-0001</x:v>
      </x:c>
      <x:c r="B2" s="28" t="n">
        <x:v>45985</x:v>
      </x:c>
      <x:c r="C2" s="11" t="str">
        <x:f>TEXT(B2,"mmm-yyyy")</x:f>
        <x:v>Nov-2025</x:v>
      </x:c>
      <x:c r="D2" s="11" t="str">
        <x:v>Pune</x:v>
      </x:c>
      <x:c r="E2" s="11" t="str">
        <x:v>West</x:v>
      </x:c>
      <x:c r="F2" s="11" t="str">
        <x:v>Electronics</x:v>
      </x:c>
      <x:c r="G2" s="11" t="str">
        <x:v>Laptop Stand</x:v>
      </x:c>
      <x:c r="H2" s="46" t="n">
        <x:v>4</x:v>
      </x:c>
      <x:c r="I2" s="34" t="n">
        <x:v>1246</x:v>
      </x:c>
      <x:c r="J2" s="40" t="n">
        <x:v>0</x:v>
      </x:c>
      <x:c r="K2" s="34" t="n">
        <x:f>ROUND(H2*I2*(1-J2),0)</x:f>
        <x:v>4984</x:v>
      </x:c>
      <x:c r="L2" s="34" t="n">
        <x:f>ROUND(K2*IF(F2="Electronics",18%,IF(F2="Office Supplies",22%,IF(F2="Furniture",15%,25%))),0)</x:f>
        <x:v>897</x:v>
      </x:c>
      <x:c r="M2" s="11" t="str">
        <x:v>UPI</x:v>
      </x:c>
      <x:c r="N2" s="12" t="str">
        <x:v>Home Office</x:v>
      </x:c>
    </x:row>
    <x:row r="3">
      <x:c r="A3" s="13" t="str">
        <x:v>ORD-0002</x:v>
      </x:c>
      <x:c r="B3" s="29" t="n">
        <x:v>45937</x:v>
      </x:c>
      <x:c r="C3" s="14" t="str">
        <x:f>TEXT(B3,"mmm-yyyy")</x:f>
        <x:v>Oct-2025</x:v>
      </x:c>
      <x:c r="D3" s="14" t="str">
        <x:v>Pune</x:v>
      </x:c>
      <x:c r="E3" s="14" t="str">
        <x:v>West</x:v>
      </x:c>
      <x:c r="F3" s="14" t="str">
        <x:v>Furniture</x:v>
      </x:c>
      <x:c r="G3" s="14" t="str">
        <x:v>Study Table</x:v>
      </x:c>
      <x:c r="H3" s="47" t="n">
        <x:v>2</x:v>
      </x:c>
      <x:c r="I3" s="35" t="n">
        <x:v>6472</x:v>
      </x:c>
      <x:c r="J3" s="41" t="n">
        <x:v>0</x:v>
      </x:c>
      <x:c r="K3" s="35" t="n">
        <x:f>ROUND(H3*I3*(1-J3),0)</x:f>
        <x:v>12944</x:v>
      </x:c>
      <x:c r="L3" s="35" t="n">
        <x:f>ROUND(K3*IF(F3="Electronics",18%,IF(F3="Office Supplies",22%,IF(F3="Furniture",15%,25%))),0)</x:f>
        <x:v>1942</x:v>
      </x:c>
      <x:c r="M3" s="14" t="str">
        <x:v>Net Banking</x:v>
      </x:c>
      <x:c r="N3" s="15" t="str">
        <x:v>Home Office</x:v>
      </x:c>
    </x:row>
    <x:row r="4">
      <x:c r="A4" s="13" t="str">
        <x:v>ORD-0003</x:v>
      </x:c>
      <x:c r="B4" s="29" t="n">
        <x:v>45671</x:v>
      </x:c>
      <x:c r="C4" s="14" t="str">
        <x:f>TEXT(B4,"mmm-yyyy")</x:f>
        <x:v>Jan-2025</x:v>
      </x:c>
      <x:c r="D4" s="14" t="str">
        <x:v>Kolkata</x:v>
      </x:c>
      <x:c r="E4" s="14" t="str">
        <x:v>East</x:v>
      </x:c>
      <x:c r="F4" s="14" t="str">
        <x:v>Electronics</x:v>
      </x:c>
      <x:c r="G4" s="14" t="str">
        <x:v>USB-C Cable</x:v>
      </x:c>
      <x:c r="H4" s="47" t="n">
        <x:v>4</x:v>
      </x:c>
      <x:c r="I4" s="35" t="n">
        <x:v>309</x:v>
      </x:c>
      <x:c r="J4" s="41" t="n">
        <x:v>0.05</x:v>
      </x:c>
      <x:c r="K4" s="35" t="n">
        <x:f>ROUND(H4*I4*(1-J4),0)</x:f>
        <x:v>1174</x:v>
      </x:c>
      <x:c r="L4" s="35" t="n">
        <x:f>ROUND(K4*IF(F4="Electronics",18%,IF(F4="Office Supplies",22%,IF(F4="Furniture",15%,25%))),0)</x:f>
        <x:v>211</x:v>
      </x:c>
      <x:c r="M4" s="14" t="str">
        <x:v>Cash</x:v>
      </x:c>
      <x:c r="N4" s="15" t="str">
        <x:v>Home Office</x:v>
      </x:c>
    </x:row>
    <x:row r="5">
      <x:c r="A5" s="13" t="str">
        <x:v>ORD-0004</x:v>
      </x:c>
      <x:c r="B5" s="29" t="n">
        <x:v>45800</x:v>
      </x:c>
      <x:c r="C5" s="14" t="str">
        <x:f>TEXT(B5,"mmm-yyyy")</x:f>
        <x:v>May-2025</x:v>
      </x:c>
      <x:c r="D5" s="14" t="str">
        <x:v>Nagpur</x:v>
      </x:c>
      <x:c r="E5" s="14" t="str">
        <x:v>West</x:v>
      </x:c>
      <x:c r="F5" s="14" t="str">
        <x:v>Accessories</x:v>
      </x:c>
      <x:c r="G5" s="14" t="str">
        <x:v>Water Bottle</x:v>
      </x:c>
      <x:c r="H5" s="47" t="n">
        <x:v>5</x:v>
      </x:c>
      <x:c r="I5" s="35" t="n">
        <x:v>360</x:v>
      </x:c>
      <x:c r="J5" s="41" t="n">
        <x:v>0</x:v>
      </x:c>
      <x:c r="K5" s="35" t="n">
        <x:f>ROUND(H5*I5*(1-J5),0)</x:f>
        <x:v>1800</x:v>
      </x:c>
      <x:c r="L5" s="35" t="n">
        <x:f>ROUND(K5*IF(F5="Electronics",18%,IF(F5="Office Supplies",22%,IF(F5="Furniture",15%,25%))),0)</x:f>
        <x:v>450</x:v>
      </x:c>
      <x:c r="M5" s="14" t="str">
        <x:v>Credit Card</x:v>
      </x:c>
      <x:c r="N5" s="15" t="str">
        <x:v>Consumer</x:v>
      </x:c>
    </x:row>
    <x:row r="6">
      <x:c r="A6" s="13" t="str">
        <x:v>ORD-0005</x:v>
      </x:c>
      <x:c r="B6" s="29" t="n">
        <x:v>45830</x:v>
      </x:c>
      <x:c r="C6" s="14" t="str">
        <x:f>TEXT(B6,"mmm-yyyy")</x:f>
        <x:v>Jun-2025</x:v>
      </x:c>
      <x:c r="D6" s="14" t="str">
        <x:v>Pune</x:v>
      </x:c>
      <x:c r="E6" s="14" t="str">
        <x:v>West</x:v>
      </x:c>
      <x:c r="F6" s="14" t="str">
        <x:v>Electronics</x:v>
      </x:c>
      <x:c r="G6" s="14" t="str">
        <x:v>Wireless Mouse</x:v>
      </x:c>
      <x:c r="H6" s="47" t="n">
        <x:v>2</x:v>
      </x:c>
      <x:c r="I6" s="35" t="n">
        <x:v>781</x:v>
      </x:c>
      <x:c r="J6" s="41" t="n">
        <x:v>0</x:v>
      </x:c>
      <x:c r="K6" s="35" t="n">
        <x:f>ROUND(H6*I6*(1-J6),0)</x:f>
        <x:v>1562</x:v>
      </x:c>
      <x:c r="L6" s="35" t="n">
        <x:f>ROUND(K6*IF(F6="Electronics",18%,IF(F6="Office Supplies",22%,IF(F6="Furniture",15%,25%))),0)</x:f>
        <x:v>281</x:v>
      </x:c>
      <x:c r="M6" s="14" t="str">
        <x:v>Debit Card</x:v>
      </x:c>
      <x:c r="N6" s="15" t="str">
        <x:v>Consumer</x:v>
      </x:c>
    </x:row>
    <x:row r="7">
      <x:c r="A7" s="13" t="str">
        <x:v>ORD-0006</x:v>
      </x:c>
      <x:c r="B7" s="29" t="n">
        <x:v>45893</x:v>
      </x:c>
      <x:c r="C7" s="14" t="str">
        <x:f>TEXT(B7,"mmm-yyyy")</x:f>
        <x:v>Aug-2025</x:v>
      </x:c>
      <x:c r="D7" s="14" t="str">
        <x:v>Kolkata</x:v>
      </x:c>
      <x:c r="E7" s="14" t="str">
        <x:v>East</x:v>
      </x:c>
      <x:c r="F7" s="14" t="str">
        <x:v>Electronics</x:v>
      </x:c>
      <x:c r="G7" s="14" t="str">
        <x:v>Wireless Mouse</x:v>
      </x:c>
      <x:c r="H7" s="47" t="n">
        <x:v>8</x:v>
      </x:c>
      <x:c r="I7" s="35" t="n">
        <x:v>783</x:v>
      </x:c>
      <x:c r="J7" s="41" t="n">
        <x:v>0.05</x:v>
      </x:c>
      <x:c r="K7" s="35" t="n">
        <x:f>ROUND(H7*I7*(1-J7),0)</x:f>
        <x:v>5951</x:v>
      </x:c>
      <x:c r="L7" s="35" t="n">
        <x:f>ROUND(K7*IF(F7="Electronics",18%,IF(F7="Office Supplies",22%,IF(F7="Furniture",15%,25%))),0)</x:f>
        <x:v>1071</x:v>
      </x:c>
      <x:c r="M7" s="14" t="str">
        <x:v>Net Banking</x:v>
      </x:c>
      <x:c r="N7" s="15" t="str">
        <x:v>Corporate</x:v>
      </x:c>
    </x:row>
    <x:row r="8">
      <x:c r="A8" s="13" t="str">
        <x:v>ORD-0007</x:v>
      </x:c>
      <x:c r="B8" s="29" t="n">
        <x:v>45953</x:v>
      </x:c>
      <x:c r="C8" s="14" t="str">
        <x:f>TEXT(B8,"mmm-yyyy")</x:f>
        <x:v>Oct-2025</x:v>
      </x:c>
      <x:c r="D8" s="14" t="str">
        <x:v>Hyderabad</x:v>
      </x:c>
      <x:c r="E8" s="14" t="str">
        <x:v>South</x:v>
      </x:c>
      <x:c r="F8" s="14" t="str">
        <x:v>Accessories</x:v>
      </x:c>
      <x:c r="G8" s="14" t="str">
        <x:v>Backpack</x:v>
      </x:c>
      <x:c r="H8" s="47" t="n">
        <x:v>1</x:v>
      </x:c>
      <x:c r="I8" s="35" t="n">
        <x:v>1230</x:v>
      </x:c>
      <x:c r="J8" s="41" t="n">
        <x:v>0.1</x:v>
      </x:c>
      <x:c r="K8" s="35" t="n">
        <x:f>ROUND(H8*I8*(1-J8),0)</x:f>
        <x:v>1107</x:v>
      </x:c>
      <x:c r="L8" s="35" t="n">
        <x:f>ROUND(K8*IF(F8="Electronics",18%,IF(F8="Office Supplies",22%,IF(F8="Furniture",15%,25%))),0)</x:f>
        <x:v>277</x:v>
      </x:c>
      <x:c r="M8" s="14" t="str">
        <x:v>UPI</x:v>
      </x:c>
      <x:c r="N8" s="15" t="str">
        <x:v>Consumer</x:v>
      </x:c>
    </x:row>
    <x:row r="9">
      <x:c r="A9" s="13" t="str">
        <x:v>ORD-0008</x:v>
      </x:c>
      <x:c r="B9" s="29" t="n">
        <x:v>45709</x:v>
      </x:c>
      <x:c r="C9" s="14" t="str">
        <x:f>TEXT(B9,"mmm-yyyy")</x:f>
        <x:v>Feb-2025</x:v>
      </x:c>
      <x:c r="D9" s="14" t="str">
        <x:v>Delhi</x:v>
      </x:c>
      <x:c r="E9" s="14" t="str">
        <x:v>North</x:v>
      </x:c>
      <x:c r="F9" s="14" t="str">
        <x:v>Office Supplies</x:v>
      </x:c>
      <x:c r="G9" s="14" t="str">
        <x:v>Notebook Pack</x:v>
      </x:c>
      <x:c r="H9" s="47" t="n">
        <x:v>2</x:v>
      </x:c>
      <x:c r="I9" s="35" t="n">
        <x:v>262</x:v>
      </x:c>
      <x:c r="J9" s="41" t="n">
        <x:v>0</x:v>
      </x:c>
      <x:c r="K9" s="35" t="n">
        <x:f>ROUND(H9*I9*(1-J9),0)</x:f>
        <x:v>524</x:v>
      </x:c>
      <x:c r="L9" s="35" t="n">
        <x:f>ROUND(K9*IF(F9="Electronics",18%,IF(F9="Office Supplies",22%,IF(F9="Furniture",15%,25%))),0)</x:f>
        <x:v>115</x:v>
      </x:c>
      <x:c r="M9" s="14" t="str">
        <x:v>Debit Card</x:v>
      </x:c>
      <x:c r="N9" s="15" t="str">
        <x:v>Consumer</x:v>
      </x:c>
    </x:row>
    <x:row r="10">
      <x:c r="A10" s="13" t="str">
        <x:v>ORD-0009</x:v>
      </x:c>
      <x:c r="B10" s="29" t="n">
        <x:v>46001</x:v>
      </x:c>
      <x:c r="C10" s="14" t="str">
        <x:f>TEXT(B10,"mmm-yyyy")</x:f>
        <x:v>Dec-2025</x:v>
      </x:c>
      <x:c r="D10" s="14" t="str">
        <x:v>Bengaluru</x:v>
      </x:c>
      <x:c r="E10" s="14" t="str">
        <x:v>South</x:v>
      </x:c>
      <x:c r="F10" s="14" t="str">
        <x:v>Accessories</x:v>
      </x:c>
      <x:c r="G10" s="14" t="str">
        <x:v>Backpack</x:v>
      </x:c>
      <x:c r="H10" s="47" t="n">
        <x:v>7</x:v>
      </x:c>
      <x:c r="I10" s="35" t="n">
        <x:v>1227</x:v>
      </x:c>
      <x:c r="J10" s="41" t="n">
        <x:v>0.05</x:v>
      </x:c>
      <x:c r="K10" s="35" t="n">
        <x:f>ROUND(H10*I10*(1-J10),0)</x:f>
        <x:v>8160</x:v>
      </x:c>
      <x:c r="L10" s="35" t="n">
        <x:f>ROUND(K10*IF(F10="Electronics",18%,IF(F10="Office Supplies",22%,IF(F10="Furniture",15%,25%))),0)</x:f>
        <x:v>2040</x:v>
      </x:c>
      <x:c r="M10" s="14" t="str">
        <x:v>Credit Card</x:v>
      </x:c>
      <x:c r="N10" s="15" t="str">
        <x:v>Home Office</x:v>
      </x:c>
    </x:row>
    <x:row r="11">
      <x:c r="A11" s="13" t="str">
        <x:v>ORD-0010</x:v>
      </x:c>
      <x:c r="B11" s="29" t="n">
        <x:v>45783</x:v>
      </x:c>
      <x:c r="C11" s="14" t="str">
        <x:f>TEXT(B11,"mmm-yyyy")</x:f>
        <x:v>May-2025</x:v>
      </x:c>
      <x:c r="D11" s="14" t="str">
        <x:v>Mumbai</x:v>
      </x:c>
      <x:c r="E11" s="14" t="str">
        <x:v>West</x:v>
      </x:c>
      <x:c r="F11" s="14" t="str">
        <x:v>Office Supplies</x:v>
      </x:c>
      <x:c r="G11" s="14" t="str">
        <x:v>Printer Paper</x:v>
      </x:c>
      <x:c r="H11" s="47" t="n">
        <x:v>2</x:v>
      </x:c>
      <x:c r="I11" s="35" t="n">
        <x:v>430</x:v>
      </x:c>
      <x:c r="J11" s="41" t="n">
        <x:v>0.05</x:v>
      </x:c>
      <x:c r="K11" s="35" t="n">
        <x:f>ROUND(H11*I11*(1-J11),0)</x:f>
        <x:v>817</x:v>
      </x:c>
      <x:c r="L11" s="35" t="n">
        <x:f>ROUND(K11*IF(F11="Electronics",18%,IF(F11="Office Supplies",22%,IF(F11="Furniture",15%,25%))),0)</x:f>
        <x:v>180</x:v>
      </x:c>
      <x:c r="M11" s="14" t="str">
        <x:v>Net Banking</x:v>
      </x:c>
      <x:c r="N11" s="15" t="str">
        <x:v>Consumer</x:v>
      </x:c>
    </x:row>
    <x:row r="12">
      <x:c r="A12" s="13" t="str">
        <x:v>ORD-0011</x:v>
      </x:c>
      <x:c r="B12" s="29" t="n">
        <x:v>46008</x:v>
      </x:c>
      <x:c r="C12" s="14" t="str">
        <x:f>TEXT(B12,"mmm-yyyy")</x:f>
        <x:v>Dec-2025</x:v>
      </x:c>
      <x:c r="D12" s="14" t="str">
        <x:v>Chennai</x:v>
      </x:c>
      <x:c r="E12" s="14" t="str">
        <x:v>South</x:v>
      </x:c>
      <x:c r="F12" s="14" t="str">
        <x:v>Accessories</x:v>
      </x:c>
      <x:c r="G12" s="14" t="str">
        <x:v>Laptop Sleeve</x:v>
      </x:c>
      <x:c r="H12" s="47" t="n">
        <x:v>4</x:v>
      </x:c>
      <x:c r="I12" s="35" t="n">
        <x:v>649</x:v>
      </x:c>
      <x:c r="J12" s="41" t="n">
        <x:v>0.1</x:v>
      </x:c>
      <x:c r="K12" s="35" t="n">
        <x:f>ROUND(H12*I12*(1-J12),0)</x:f>
        <x:v>2336</x:v>
      </x:c>
      <x:c r="L12" s="35" t="n">
        <x:f>ROUND(K12*IF(F12="Electronics",18%,IF(F12="Office Supplies",22%,IF(F12="Furniture",15%,25%))),0)</x:f>
        <x:v>584</x:v>
      </x:c>
      <x:c r="M12" s="14" t="str">
        <x:v>Debit Card</x:v>
      </x:c>
      <x:c r="N12" s="15" t="str">
        <x:v>Corporate</x:v>
      </x:c>
    </x:row>
    <x:row r="13">
      <x:c r="A13" s="13" t="str">
        <x:v>ORD-0012</x:v>
      </x:c>
      <x:c r="B13" s="29" t="n">
        <x:v>45795</x:v>
      </x:c>
      <x:c r="C13" s="14" t="str">
        <x:f>TEXT(B13,"mmm-yyyy")</x:f>
        <x:v>May-2025</x:v>
      </x:c>
      <x:c r="D13" s="14" t="str">
        <x:v>Pune</x:v>
      </x:c>
      <x:c r="E13" s="14" t="str">
        <x:v>West</x:v>
      </x:c>
      <x:c r="F13" s="14" t="str">
        <x:v>Electronics</x:v>
      </x:c>
      <x:c r="G13" s="14" t="str">
        <x:v>USB-C Cable</x:v>
      </x:c>
      <x:c r="H13" s="47" t="n">
        <x:v>6</x:v>
      </x:c>
      <x:c r="I13" s="35" t="n">
        <x:v>302</x:v>
      </x:c>
      <x:c r="J13" s="41" t="n">
        <x:v>0.1</x:v>
      </x:c>
      <x:c r="K13" s="35" t="n">
        <x:f>ROUND(H13*I13*(1-J13),0)</x:f>
        <x:v>1631</x:v>
      </x:c>
      <x:c r="L13" s="35" t="n">
        <x:f>ROUND(K13*IF(F13="Electronics",18%,IF(F13="Office Supplies",22%,IF(F13="Furniture",15%,25%))),0)</x:f>
        <x:v>294</x:v>
      </x:c>
      <x:c r="M13" s="14" t="str">
        <x:v>Credit Card</x:v>
      </x:c>
      <x:c r="N13" s="15" t="str">
        <x:v>Home Office</x:v>
      </x:c>
    </x:row>
    <x:row r="14">
      <x:c r="A14" s="13" t="str">
        <x:v>ORD-0013</x:v>
      </x:c>
      <x:c r="B14" s="29" t="n">
        <x:v>45913</x:v>
      </x:c>
      <x:c r="C14" s="14" t="str">
        <x:f>TEXT(B14,"mmm-yyyy")</x:f>
        <x:v>Sep-2025</x:v>
      </x:c>
      <x:c r="D14" s="14" t="str">
        <x:v>Delhi</x:v>
      </x:c>
      <x:c r="E14" s="14" t="str">
        <x:v>North</x:v>
      </x:c>
      <x:c r="F14" s="14" t="str">
        <x:v>Accessories</x:v>
      </x:c>
      <x:c r="G14" s="14" t="str">
        <x:v>Desk Lamp</x:v>
      </x:c>
      <x:c r="H14" s="47" t="n">
        <x:v>6</x:v>
      </x:c>
      <x:c r="I14" s="35" t="n">
        <x:v>893</x:v>
      </x:c>
      <x:c r="J14" s="41" t="n">
        <x:v>0</x:v>
      </x:c>
      <x:c r="K14" s="35" t="n">
        <x:f>ROUND(H14*I14*(1-J14),0)</x:f>
        <x:v>5358</x:v>
      </x:c>
      <x:c r="L14" s="35" t="n">
        <x:f>ROUND(K14*IF(F14="Electronics",18%,IF(F14="Office Supplies",22%,IF(F14="Furniture",15%,25%))),0)</x:f>
        <x:v>1340</x:v>
      </x:c>
      <x:c r="M14" s="14" t="str">
        <x:v>Credit Card</x:v>
      </x:c>
      <x:c r="N14" s="15" t="str">
        <x:v>Home Office</x:v>
      </x:c>
    </x:row>
    <x:row r="15">
      <x:c r="A15" s="13" t="str">
        <x:v>ORD-0014</x:v>
      </x:c>
      <x:c r="B15" s="29" t="n">
        <x:v>45945</x:v>
      </x:c>
      <x:c r="C15" s="14" t="str">
        <x:f>TEXT(B15,"mmm-yyyy")</x:f>
        <x:v>Oct-2025</x:v>
      </x:c>
      <x:c r="D15" s="14" t="str">
        <x:v>Kolkata</x:v>
      </x:c>
      <x:c r="E15" s="14" t="str">
        <x:v>East</x:v>
      </x:c>
      <x:c r="F15" s="14" t="str">
        <x:v>Office Supplies</x:v>
      </x:c>
      <x:c r="G15" s="14" t="str">
        <x:v>Notebook Pack</x:v>
      </x:c>
      <x:c r="H15" s="47" t="n">
        <x:v>4</x:v>
      </x:c>
      <x:c r="I15" s="35" t="n">
        <x:v>246</x:v>
      </x:c>
      <x:c r="J15" s="41" t="n">
        <x:v>0.05</x:v>
      </x:c>
      <x:c r="K15" s="35" t="n">
        <x:f>ROUND(H15*I15*(1-J15),0)</x:f>
        <x:v>935</x:v>
      </x:c>
      <x:c r="L15" s="35" t="n">
        <x:f>ROUND(K15*IF(F15="Electronics",18%,IF(F15="Office Supplies",22%,IF(F15="Furniture",15%,25%))),0)</x:f>
        <x:v>206</x:v>
      </x:c>
      <x:c r="M15" s="14" t="str">
        <x:v>Debit Card</x:v>
      </x:c>
      <x:c r="N15" s="15" t="str">
        <x:v>Consumer</x:v>
      </x:c>
    </x:row>
    <x:row r="16">
      <x:c r="A16" s="13" t="str">
        <x:v>ORD-0015</x:v>
      </x:c>
      <x:c r="B16" s="29" t="n">
        <x:v>45728</x:v>
      </x:c>
      <x:c r="C16" s="14" t="str">
        <x:f>TEXT(B16,"mmm-yyyy")</x:f>
        <x:v>Mar-2025</x:v>
      </x:c>
      <x:c r="D16" s="14" t="str">
        <x:v>Kolkata</x:v>
      </x:c>
      <x:c r="E16" s="14" t="str">
        <x:v>East</x:v>
      </x:c>
      <x:c r="F16" s="14" t="str">
        <x:v>Office Supplies</x:v>
      </x:c>
      <x:c r="G16" s="14" t="str">
        <x:v>Printer Paper</x:v>
      </x:c>
      <x:c r="H16" s="47" t="n">
        <x:v>1</x:v>
      </x:c>
      <x:c r="I16" s="35" t="n">
        <x:v>370</x:v>
      </x:c>
      <x:c r="J16" s="41" t="n">
        <x:v>0</x:v>
      </x:c>
      <x:c r="K16" s="35" t="n">
        <x:f>ROUND(H16*I16*(1-J16),0)</x:f>
        <x:v>370</x:v>
      </x:c>
      <x:c r="L16" s="35" t="n">
        <x:f>ROUND(K16*IF(F16="Electronics",18%,IF(F16="Office Supplies",22%,IF(F16="Furniture",15%,25%))),0)</x:f>
        <x:v>81</x:v>
      </x:c>
      <x:c r="M16" s="14" t="str">
        <x:v>Credit Card</x:v>
      </x:c>
      <x:c r="N16" s="15" t="str">
        <x:v>Home Office</x:v>
      </x:c>
    </x:row>
    <x:row r="17">
      <x:c r="A17" s="13" t="str">
        <x:v>ORD-0016</x:v>
      </x:c>
      <x:c r="B17" s="29" t="n">
        <x:v>45874</x:v>
      </x:c>
      <x:c r="C17" s="14" t="str">
        <x:f>TEXT(B17,"mmm-yyyy")</x:f>
        <x:v>Aug-2025</x:v>
      </x:c>
      <x:c r="D17" s="14" t="str">
        <x:v>Bhopal</x:v>
      </x:c>
      <x:c r="E17" s="14" t="str">
        <x:v>Central</x:v>
      </x:c>
      <x:c r="F17" s="14" t="str">
        <x:v>Electronics</x:v>
      </x:c>
      <x:c r="G17" s="14" t="str">
        <x:v>Wireless Mouse</x:v>
      </x:c>
      <x:c r="H17" s="47" t="n">
        <x:v>2</x:v>
      </x:c>
      <x:c r="I17" s="35" t="n">
        <x:v>811</x:v>
      </x:c>
      <x:c r="J17" s="41" t="n">
        <x:v>0.05</x:v>
      </x:c>
      <x:c r="K17" s="35" t="n">
        <x:f>ROUND(H17*I17*(1-J17),0)</x:f>
        <x:v>1541</x:v>
      </x:c>
      <x:c r="L17" s="35" t="n">
        <x:f>ROUND(K17*IF(F17="Electronics",18%,IF(F17="Office Supplies",22%,IF(F17="Furniture",15%,25%))),0)</x:f>
        <x:v>277</x:v>
      </x:c>
      <x:c r="M17" s="14" t="str">
        <x:v>Debit Card</x:v>
      </x:c>
      <x:c r="N17" s="15" t="str">
        <x:v>Home Office</x:v>
      </x:c>
    </x:row>
    <x:row r="18">
      <x:c r="A18" s="13" t="str">
        <x:v>ORD-0017</x:v>
      </x:c>
      <x:c r="B18" s="29" t="n">
        <x:v>45663</x:v>
      </x:c>
      <x:c r="C18" s="14" t="str">
        <x:f>TEXT(B18,"mmm-yyyy")</x:f>
        <x:v>Jan-2025</x:v>
      </x:c>
      <x:c r="D18" s="14" t="str">
        <x:v>Pune</x:v>
      </x:c>
      <x:c r="E18" s="14" t="str">
        <x:v>West</x:v>
      </x:c>
      <x:c r="F18" s="14" t="str">
        <x:v>Furniture</x:v>
      </x:c>
      <x:c r="G18" s="14" t="str">
        <x:v>Bookshelf</x:v>
      </x:c>
      <x:c r="H18" s="47" t="n">
        <x:v>6</x:v>
      </x:c>
      <x:c r="I18" s="35" t="n">
        <x:v>3639</x:v>
      </x:c>
      <x:c r="J18" s="41" t="n">
        <x:v>0.1</x:v>
      </x:c>
      <x:c r="K18" s="35" t="n">
        <x:f>ROUND(H18*I18*(1-J18),0)</x:f>
        <x:v>19651</x:v>
      </x:c>
      <x:c r="L18" s="35" t="n">
        <x:f>ROUND(K18*IF(F18="Electronics",18%,IF(F18="Office Supplies",22%,IF(F18="Furniture",15%,25%))),0)</x:f>
        <x:v>2948</x:v>
      </x:c>
      <x:c r="M18" s="14" t="str">
        <x:v>Debit Card</x:v>
      </x:c>
      <x:c r="N18" s="15" t="str">
        <x:v>Consumer</x:v>
      </x:c>
    </x:row>
    <x:row r="19">
      <x:c r="A19" s="13" t="str">
        <x:v>ORD-0018</x:v>
      </x:c>
      <x:c r="B19" s="29" t="n">
        <x:v>45808</x:v>
      </x:c>
      <x:c r="C19" s="14" t="str">
        <x:f>TEXT(B19,"mmm-yyyy")</x:f>
        <x:v>May-2025</x:v>
      </x:c>
      <x:c r="D19" s="14" t="str">
        <x:v>Delhi</x:v>
      </x:c>
      <x:c r="E19" s="14" t="str">
        <x:v>North</x:v>
      </x:c>
      <x:c r="F19" s="14" t="str">
        <x:v>Electronics</x:v>
      </x:c>
      <x:c r="G19" s="14" t="str">
        <x:v>Bluetooth Speaker</x:v>
      </x:c>
      <x:c r="H19" s="47" t="n">
        <x:v>2</x:v>
      </x:c>
      <x:c r="I19" s="35" t="n">
        <x:v>1608</x:v>
      </x:c>
      <x:c r="J19" s="41" t="n">
        <x:v>0.15</x:v>
      </x:c>
      <x:c r="K19" s="35" t="n">
        <x:f>ROUND(H19*I19*(1-J19),0)</x:f>
        <x:v>2734</x:v>
      </x:c>
      <x:c r="L19" s="35" t="n">
        <x:f>ROUND(K19*IF(F19="Electronics",18%,IF(F19="Office Supplies",22%,IF(F19="Furniture",15%,25%))),0)</x:f>
        <x:v>492</x:v>
      </x:c>
      <x:c r="M19" s="14" t="str">
        <x:v>Debit Card</x:v>
      </x:c>
      <x:c r="N19" s="15" t="str">
        <x:v>Home Office</x:v>
      </x:c>
    </x:row>
    <x:row r="20">
      <x:c r="A20" s="13" t="str">
        <x:v>ORD-0019</x:v>
      </x:c>
      <x:c r="B20" s="29" t="n">
        <x:v>45749</x:v>
      </x:c>
      <x:c r="C20" s="14" t="str">
        <x:f>TEXT(B20,"mmm-yyyy")</x:f>
        <x:v>Apr-2025</x:v>
      </x:c>
      <x:c r="D20" s="14" t="str">
        <x:v>Kolkata</x:v>
      </x:c>
      <x:c r="E20" s="14" t="str">
        <x:v>East</x:v>
      </x:c>
      <x:c r="F20" s="14" t="str">
        <x:v>Accessories</x:v>
      </x:c>
      <x:c r="G20" s="14" t="str">
        <x:v>Desk Lamp</x:v>
      </x:c>
      <x:c r="H20" s="47" t="n">
        <x:v>1</x:v>
      </x:c>
      <x:c r="I20" s="35" t="n">
        <x:v>917</x:v>
      </x:c>
      <x:c r="J20" s="41" t="n">
        <x:v>0.15</x:v>
      </x:c>
      <x:c r="K20" s="35" t="n">
        <x:f>ROUND(H20*I20*(1-J20),0)</x:f>
        <x:v>779</x:v>
      </x:c>
      <x:c r="L20" s="35" t="n">
        <x:f>ROUND(K20*IF(F20="Electronics",18%,IF(F20="Office Supplies",22%,IF(F20="Furniture",15%,25%))),0)</x:f>
        <x:v>195</x:v>
      </x:c>
      <x:c r="M20" s="14" t="str">
        <x:v>Net Banking</x:v>
      </x:c>
      <x:c r="N20" s="15" t="str">
        <x:v>Home Office</x:v>
      </x:c>
    </x:row>
    <x:row r="21">
      <x:c r="A21" s="13" t="str">
        <x:v>ORD-0020</x:v>
      </x:c>
      <x:c r="B21" s="29" t="n">
        <x:v>45759</x:v>
      </x:c>
      <x:c r="C21" s="14" t="str">
        <x:f>TEXT(B21,"mmm-yyyy")</x:f>
        <x:v>Apr-2025</x:v>
      </x:c>
      <x:c r="D21" s="14" t="str">
        <x:v>Mumbai</x:v>
      </x:c>
      <x:c r="E21" s="14" t="str">
        <x:v>West</x:v>
      </x:c>
      <x:c r="F21" s="14" t="str">
        <x:v>Office Supplies</x:v>
      </x:c>
      <x:c r="G21" s="14" t="str">
        <x:v>Desk Organizer</x:v>
      </x:c>
      <x:c r="H21" s="47" t="n">
        <x:v>4</x:v>
      </x:c>
      <x:c r="I21" s="35" t="n">
        <x:v>703</x:v>
      </x:c>
      <x:c r="J21" s="41" t="n">
        <x:v>0.1</x:v>
      </x:c>
      <x:c r="K21" s="35" t="n">
        <x:f>ROUND(H21*I21*(1-J21),0)</x:f>
        <x:v>2531</x:v>
      </x:c>
      <x:c r="L21" s="35" t="n">
        <x:f>ROUND(K21*IF(F21="Electronics",18%,IF(F21="Office Supplies",22%,IF(F21="Furniture",15%,25%))),0)</x:f>
        <x:v>557</x:v>
      </x:c>
      <x:c r="M21" s="14" t="str">
        <x:v>Net Banking</x:v>
      </x:c>
      <x:c r="N21" s="15" t="str">
        <x:v>Consumer</x:v>
      </x:c>
    </x:row>
    <x:row r="22">
      <x:c r="A22" s="13" t="str">
        <x:v>ORD-0021</x:v>
      </x:c>
      <x:c r="B22" s="29" t="n">
        <x:v>45964</x:v>
      </x:c>
      <x:c r="C22" s="14" t="str">
        <x:f>TEXT(B22,"mmm-yyyy")</x:f>
        <x:v>Nov-2025</x:v>
      </x:c>
      <x:c r="D22" s="14" t="str">
        <x:v>Chennai</x:v>
      </x:c>
      <x:c r="E22" s="14" t="str">
        <x:v>South</x:v>
      </x:c>
      <x:c r="F22" s="14" t="str">
        <x:v>Office Supplies</x:v>
      </x:c>
      <x:c r="G22" s="14" t="str">
        <x:v>Printer Paper</x:v>
      </x:c>
      <x:c r="H22" s="47" t="n">
        <x:v>1</x:v>
      </x:c>
      <x:c r="I22" s="35" t="n">
        <x:v>426</x:v>
      </x:c>
      <x:c r="J22" s="41" t="n">
        <x:v>0.15</x:v>
      </x:c>
      <x:c r="K22" s="35" t="n">
        <x:f>ROUND(H22*I22*(1-J22),0)</x:f>
        <x:v>362</x:v>
      </x:c>
      <x:c r="L22" s="35" t="n">
        <x:f>ROUND(K22*IF(F22="Electronics",18%,IF(F22="Office Supplies",22%,IF(F22="Furniture",15%,25%))),0)</x:f>
        <x:v>80</x:v>
      </x:c>
      <x:c r="M22" s="14" t="str">
        <x:v>Debit Card</x:v>
      </x:c>
      <x:c r="N22" s="15" t="str">
        <x:v>Consumer</x:v>
      </x:c>
    </x:row>
    <x:row r="23">
      <x:c r="A23" s="13" t="str">
        <x:v>ORD-0022</x:v>
      </x:c>
      <x:c r="B23" s="29" t="n">
        <x:v>45687</x:v>
      </x:c>
      <x:c r="C23" s="14" t="str">
        <x:f>TEXT(B23,"mmm-yyyy")</x:f>
        <x:v>Jan-2025</x:v>
      </x:c>
      <x:c r="D23" s="14" t="str">
        <x:v>Hyderabad</x:v>
      </x:c>
      <x:c r="E23" s="14" t="str">
        <x:v>South</x:v>
      </x:c>
      <x:c r="F23" s="14" t="str">
        <x:v>Accessories</x:v>
      </x:c>
      <x:c r="G23" s="14" t="str">
        <x:v>Desk Lamp</x:v>
      </x:c>
      <x:c r="H23" s="47" t="n">
        <x:v>3</x:v>
      </x:c>
      <x:c r="I23" s="35" t="n">
        <x:v>838</x:v>
      </x:c>
      <x:c r="J23" s="41" t="n">
        <x:v>0.1</x:v>
      </x:c>
      <x:c r="K23" s="35" t="n">
        <x:f>ROUND(H23*I23*(1-J23),0)</x:f>
        <x:v>2263</x:v>
      </x:c>
      <x:c r="L23" s="35" t="n">
        <x:f>ROUND(K23*IF(F23="Electronics",18%,IF(F23="Office Supplies",22%,IF(F23="Furniture",15%,25%))),0)</x:f>
        <x:v>566</x:v>
      </x:c>
      <x:c r="M23" s="14" t="str">
        <x:v>UPI</x:v>
      </x:c>
      <x:c r="N23" s="15" t="str">
        <x:v>Home Office</x:v>
      </x:c>
    </x:row>
    <x:row r="24">
      <x:c r="A24" s="13" t="str">
        <x:v>ORD-0023</x:v>
      </x:c>
      <x:c r="B24" s="29" t="n">
        <x:v>45722</x:v>
      </x:c>
      <x:c r="C24" s="14" t="str">
        <x:f>TEXT(B24,"mmm-yyyy")</x:f>
        <x:v>Mar-2025</x:v>
      </x:c>
      <x:c r="D24" s="14" t="str">
        <x:v>Mumbai</x:v>
      </x:c>
      <x:c r="E24" s="14" t="str">
        <x:v>West</x:v>
      </x:c>
      <x:c r="F24" s="14" t="str">
        <x:v>Furniture</x:v>
      </x:c>
      <x:c r="G24" s="14" t="str">
        <x:v>Bookshelf</x:v>
      </x:c>
      <x:c r="H24" s="47" t="n">
        <x:v>3</x:v>
      </x:c>
      <x:c r="I24" s="35" t="n">
        <x:v>3527</x:v>
      </x:c>
      <x:c r="J24" s="41" t="n">
        <x:v>0</x:v>
      </x:c>
      <x:c r="K24" s="35" t="n">
        <x:f>ROUND(H24*I24*(1-J24),0)</x:f>
        <x:v>10581</x:v>
      </x:c>
      <x:c r="L24" s="35" t="n">
        <x:f>ROUND(K24*IF(F24="Electronics",18%,IF(F24="Office Supplies",22%,IF(F24="Furniture",15%,25%))),0)</x:f>
        <x:v>1587</x:v>
      </x:c>
      <x:c r="M24" s="14" t="str">
        <x:v>Net Banking</x:v>
      </x:c>
      <x:c r="N24" s="15" t="str">
        <x:v>Corporate</x:v>
      </x:c>
    </x:row>
    <x:row r="25">
      <x:c r="A25" s="13" t="str">
        <x:v>ORD-0024</x:v>
      </x:c>
      <x:c r="B25" s="29" t="n">
        <x:v>45766</x:v>
      </x:c>
      <x:c r="C25" s="14" t="str">
        <x:f>TEXT(B25,"mmm-yyyy")</x:f>
        <x:v>Apr-2025</x:v>
      </x:c>
      <x:c r="D25" s="14" t="str">
        <x:v>Kolkata</x:v>
      </x:c>
      <x:c r="E25" s="14" t="str">
        <x:v>East</x:v>
      </x:c>
      <x:c r="F25" s="14" t="str">
        <x:v>Accessories</x:v>
      </x:c>
      <x:c r="G25" s="14" t="str">
        <x:v>Water Bottle</x:v>
      </x:c>
      <x:c r="H25" s="47" t="n">
        <x:v>4</x:v>
      </x:c>
      <x:c r="I25" s="35" t="n">
        <x:v>332</x:v>
      </x:c>
      <x:c r="J25" s="41" t="n">
        <x:v>0</x:v>
      </x:c>
      <x:c r="K25" s="35" t="n">
        <x:f>ROUND(H25*I25*(1-J25),0)</x:f>
        <x:v>1328</x:v>
      </x:c>
      <x:c r="L25" s="35" t="n">
        <x:f>ROUND(K25*IF(F25="Electronics",18%,IF(F25="Office Supplies",22%,IF(F25="Furniture",15%,25%))),0)</x:f>
        <x:v>332</x:v>
      </x:c>
      <x:c r="M25" s="14" t="str">
        <x:v>Debit Card</x:v>
      </x:c>
      <x:c r="N25" s="15" t="str">
        <x:v>Corporate</x:v>
      </x:c>
    </x:row>
    <x:row r="26">
      <x:c r="A26" s="13" t="str">
        <x:v>ORD-0025</x:v>
      </x:c>
      <x:c r="B26" s="29" t="n">
        <x:v>45922</x:v>
      </x:c>
      <x:c r="C26" s="14" t="str">
        <x:f>TEXT(B26,"mmm-yyyy")</x:f>
        <x:v>Sep-2025</x:v>
      </x:c>
      <x:c r="D26" s="14" t="str">
        <x:v>Jaipur</x:v>
      </x:c>
      <x:c r="E26" s="14" t="str">
        <x:v>North</x:v>
      </x:c>
      <x:c r="F26" s="14" t="str">
        <x:v>Electronics</x:v>
      </x:c>
      <x:c r="G26" s="14" t="str">
        <x:v>Wireless Mouse</x:v>
      </x:c>
      <x:c r="H26" s="47" t="n">
        <x:v>2</x:v>
      </x:c>
      <x:c r="I26" s="35" t="n">
        <x:v>743</x:v>
      </x:c>
      <x:c r="J26" s="41" t="n">
        <x:v>0</x:v>
      </x:c>
      <x:c r="K26" s="35" t="n">
        <x:f>ROUND(H26*I26*(1-J26),0)</x:f>
        <x:v>1486</x:v>
      </x:c>
      <x:c r="L26" s="35" t="n">
        <x:f>ROUND(K26*IF(F26="Electronics",18%,IF(F26="Office Supplies",22%,IF(F26="Furniture",15%,25%))),0)</x:f>
        <x:v>267</x:v>
      </x:c>
      <x:c r="M26" s="14" t="str">
        <x:v>Net Banking</x:v>
      </x:c>
      <x:c r="N26" s="15" t="str">
        <x:v>Consumer</x:v>
      </x:c>
    </x:row>
    <x:row r="27">
      <x:c r="A27" s="13" t="str">
        <x:v>ORD-0026</x:v>
      </x:c>
      <x:c r="B27" s="29" t="n">
        <x:v>45959</x:v>
      </x:c>
      <x:c r="C27" s="14" t="str">
        <x:f>TEXT(B27,"mmm-yyyy")</x:f>
        <x:v>Oct-2025</x:v>
      </x:c>
      <x:c r="D27" s="14" t="str">
        <x:v>Hyderabad</x:v>
      </x:c>
      <x:c r="E27" s="14" t="str">
        <x:v>South</x:v>
      </x:c>
      <x:c r="F27" s="14" t="str">
        <x:v>Electronics</x:v>
      </x:c>
      <x:c r="G27" s="14" t="str">
        <x:v>Laptop Stand</x:v>
      </x:c>
      <x:c r="H27" s="47" t="n">
        <x:v>1</x:v>
      </x:c>
      <x:c r="I27" s="35" t="n">
        <x:v>1326</x:v>
      </x:c>
      <x:c r="J27" s="41" t="n">
        <x:v>0</x:v>
      </x:c>
      <x:c r="K27" s="35" t="n">
        <x:f>ROUND(H27*I27*(1-J27),0)</x:f>
        <x:v>1326</x:v>
      </x:c>
      <x:c r="L27" s="35" t="n">
        <x:f>ROUND(K27*IF(F27="Electronics",18%,IF(F27="Office Supplies",22%,IF(F27="Furniture",15%,25%))),0)</x:f>
        <x:v>239</x:v>
      </x:c>
      <x:c r="M27" s="14" t="str">
        <x:v>UPI</x:v>
      </x:c>
      <x:c r="N27" s="15" t="str">
        <x:v>Corporate</x:v>
      </x:c>
    </x:row>
    <x:row r="28">
      <x:c r="A28" s="13" t="str">
        <x:v>ORD-0027</x:v>
      </x:c>
      <x:c r="B28" s="29" t="n">
        <x:v>45694</x:v>
      </x:c>
      <x:c r="C28" s="14" t="str">
        <x:f>TEXT(B28,"mmm-yyyy")</x:f>
        <x:v>Feb-2025</x:v>
      </x:c>
      <x:c r="D28" s="14" t="str">
        <x:v>Kolkata</x:v>
      </x:c>
      <x:c r="E28" s="14" t="str">
        <x:v>East</x:v>
      </x:c>
      <x:c r="F28" s="14" t="str">
        <x:v>Electronics</x:v>
      </x:c>
      <x:c r="G28" s="14" t="str">
        <x:v>USB-C Cable</x:v>
      </x:c>
      <x:c r="H28" s="47" t="n">
        <x:v>2</x:v>
      </x:c>
      <x:c r="I28" s="35" t="n">
        <x:v>298</x:v>
      </x:c>
      <x:c r="J28" s="41" t="n">
        <x:v>0.05</x:v>
      </x:c>
      <x:c r="K28" s="35" t="n">
        <x:f>ROUND(H28*I28*(1-J28),0)</x:f>
        <x:v>566</x:v>
      </x:c>
      <x:c r="L28" s="35" t="n">
        <x:f>ROUND(K28*IF(F28="Electronics",18%,IF(F28="Office Supplies",22%,IF(F28="Furniture",15%,25%))),0)</x:f>
        <x:v>102</x:v>
      </x:c>
      <x:c r="M28" s="14" t="str">
        <x:v>Net Banking</x:v>
      </x:c>
      <x:c r="N28" s="15" t="str">
        <x:v>Home Office</x:v>
      </x:c>
    </x:row>
    <x:row r="29">
      <x:c r="A29" s="13" t="str">
        <x:v>ORD-0028</x:v>
      </x:c>
      <x:c r="B29" s="29" t="n">
        <x:v>45900</x:v>
      </x:c>
      <x:c r="C29" s="14" t="str">
        <x:f>TEXT(B29,"mmm-yyyy")</x:f>
        <x:v>Aug-2025</x:v>
      </x:c>
      <x:c r="D29" s="14" t="str">
        <x:v>Hyderabad</x:v>
      </x:c>
      <x:c r="E29" s="14" t="str">
        <x:v>South</x:v>
      </x:c>
      <x:c r="F29" s="14" t="str">
        <x:v>Accessories</x:v>
      </x:c>
      <x:c r="G29" s="14" t="str">
        <x:v>Water Bottle</x:v>
      </x:c>
      <x:c r="H29" s="47" t="n">
        <x:v>3</x:v>
      </x:c>
      <x:c r="I29" s="35" t="n">
        <x:v>344</x:v>
      </x:c>
      <x:c r="J29" s="41" t="n">
        <x:v>0</x:v>
      </x:c>
      <x:c r="K29" s="35" t="n">
        <x:f>ROUND(H29*I29*(1-J29),0)</x:f>
        <x:v>1032</x:v>
      </x:c>
      <x:c r="L29" s="35" t="n">
        <x:f>ROUND(K29*IF(F29="Electronics",18%,IF(F29="Office Supplies",22%,IF(F29="Furniture",15%,25%))),0)</x:f>
        <x:v>258</x:v>
      </x:c>
      <x:c r="M29" s="14" t="str">
        <x:v>Cash</x:v>
      </x:c>
      <x:c r="N29" s="15" t="str">
        <x:v>Corporate</x:v>
      </x:c>
    </x:row>
    <x:row r="30">
      <x:c r="A30" s="13" t="str">
        <x:v>ORD-0029</x:v>
      </x:c>
      <x:c r="B30" s="29" t="n">
        <x:v>45874</x:v>
      </x:c>
      <x:c r="C30" s="14" t="str">
        <x:f>TEXT(B30,"mmm-yyyy")</x:f>
        <x:v>Aug-2025</x:v>
      </x:c>
      <x:c r="D30" s="14" t="str">
        <x:v>Delhi</x:v>
      </x:c>
      <x:c r="E30" s="14" t="str">
        <x:v>North</x:v>
      </x:c>
      <x:c r="F30" s="14" t="str">
        <x:v>Office Supplies</x:v>
      </x:c>
      <x:c r="G30" s="14" t="str">
        <x:v>Printer Paper</x:v>
      </x:c>
      <x:c r="H30" s="47" t="n">
        <x:v>5</x:v>
      </x:c>
      <x:c r="I30" s="35" t="n">
        <x:v>371</x:v>
      </x:c>
      <x:c r="J30" s="41" t="n">
        <x:v>0.1</x:v>
      </x:c>
      <x:c r="K30" s="35" t="n">
        <x:f>ROUND(H30*I30*(1-J30),0)</x:f>
        <x:v>1670</x:v>
      </x:c>
      <x:c r="L30" s="35" t="n">
        <x:f>ROUND(K30*IF(F30="Electronics",18%,IF(F30="Office Supplies",22%,IF(F30="Furniture",15%,25%))),0)</x:f>
        <x:v>367</x:v>
      </x:c>
      <x:c r="M30" s="14" t="str">
        <x:v>UPI</x:v>
      </x:c>
      <x:c r="N30" s="15" t="str">
        <x:v>Consumer</x:v>
      </x:c>
    </x:row>
    <x:row r="31">
      <x:c r="A31" s="13" t="str">
        <x:v>ORD-0030</x:v>
      </x:c>
      <x:c r="B31" s="29" t="n">
        <x:v>45864</x:v>
      </x:c>
      <x:c r="C31" s="14" t="str">
        <x:f>TEXT(B31,"mmm-yyyy")</x:f>
        <x:v>Jul-2025</x:v>
      </x:c>
      <x:c r="D31" s="14" t="str">
        <x:v>Chennai</x:v>
      </x:c>
      <x:c r="E31" s="14" t="str">
        <x:v>South</x:v>
      </x:c>
      <x:c r="F31" s="14" t="str">
        <x:v>Accessories</x:v>
      </x:c>
      <x:c r="G31" s="14" t="str">
        <x:v>Water Bottle</x:v>
      </x:c>
      <x:c r="H31" s="47" t="n">
        <x:v>5</x:v>
      </x:c>
      <x:c r="I31" s="35" t="n">
        <x:v>335</x:v>
      </x:c>
      <x:c r="J31" s="41" t="n">
        <x:v>0</x:v>
      </x:c>
      <x:c r="K31" s="35" t="n">
        <x:f>ROUND(H31*I31*(1-J31),0)</x:f>
        <x:v>1675</x:v>
      </x:c>
      <x:c r="L31" s="35" t="n">
        <x:f>ROUND(K31*IF(F31="Electronics",18%,IF(F31="Office Supplies",22%,IF(F31="Furniture",15%,25%))),0)</x:f>
        <x:v>419</x:v>
      </x:c>
      <x:c r="M31" s="14" t="str">
        <x:v>Cash</x:v>
      </x:c>
      <x:c r="N31" s="15" t="str">
        <x:v>Consumer</x:v>
      </x:c>
    </x:row>
    <x:row r="32">
      <x:c r="A32" s="13" t="str">
        <x:v>ORD-0031</x:v>
      </x:c>
      <x:c r="B32" s="29" t="n">
        <x:v>45874</x:v>
      </x:c>
      <x:c r="C32" s="14" t="str">
        <x:f>TEXT(B32,"mmm-yyyy")</x:f>
        <x:v>Aug-2025</x:v>
      </x:c>
      <x:c r="D32" s="14" t="str">
        <x:v>Mumbai</x:v>
      </x:c>
      <x:c r="E32" s="14" t="str">
        <x:v>West</x:v>
      </x:c>
      <x:c r="F32" s="14" t="str">
        <x:v>Office Supplies</x:v>
      </x:c>
      <x:c r="G32" s="14" t="str">
        <x:v>Notebook Pack</x:v>
      </x:c>
      <x:c r="H32" s="47" t="n">
        <x:v>3</x:v>
      </x:c>
      <x:c r="I32" s="35" t="n">
        <x:v>264</x:v>
      </x:c>
      <x:c r="J32" s="41" t="n">
        <x:v>0</x:v>
      </x:c>
      <x:c r="K32" s="35" t="n">
        <x:f>ROUND(H32*I32*(1-J32),0)</x:f>
        <x:v>792</x:v>
      </x:c>
      <x:c r="L32" s="35" t="n">
        <x:f>ROUND(K32*IF(F32="Electronics",18%,IF(F32="Office Supplies",22%,IF(F32="Furniture",15%,25%))),0)</x:f>
        <x:v>174</x:v>
      </x:c>
      <x:c r="M32" s="14" t="str">
        <x:v>Net Banking</x:v>
      </x:c>
      <x:c r="N32" s="15" t="str">
        <x:v>Consumer</x:v>
      </x:c>
    </x:row>
    <x:row r="33">
      <x:c r="A33" s="13" t="str">
        <x:v>ORD-0032</x:v>
      </x:c>
      <x:c r="B33" s="29" t="n">
        <x:v>45683</x:v>
      </x:c>
      <x:c r="C33" s="14" t="str">
        <x:f>TEXT(B33,"mmm-yyyy")</x:f>
        <x:v>Jan-2025</x:v>
      </x:c>
      <x:c r="D33" s="14" t="str">
        <x:v>Kolkata</x:v>
      </x:c>
      <x:c r="E33" s="14" t="str">
        <x:v>East</x:v>
      </x:c>
      <x:c r="F33" s="14" t="str">
        <x:v>Accessories</x:v>
      </x:c>
      <x:c r="G33" s="14" t="str">
        <x:v>Laptop Sleeve</x:v>
      </x:c>
      <x:c r="H33" s="47" t="n">
        <x:v>1</x:v>
      </x:c>
      <x:c r="I33" s="35" t="n">
        <x:v>654</x:v>
      </x:c>
      <x:c r="J33" s="41" t="n">
        <x:v>0.1</x:v>
      </x:c>
      <x:c r="K33" s="35" t="n">
        <x:f>ROUND(H33*I33*(1-J33),0)</x:f>
        <x:v>589</x:v>
      </x:c>
      <x:c r="L33" s="35" t="n">
        <x:f>ROUND(K33*IF(F33="Electronics",18%,IF(F33="Office Supplies",22%,IF(F33="Furniture",15%,25%))),0)</x:f>
        <x:v>147</x:v>
      </x:c>
      <x:c r="M33" s="14" t="str">
        <x:v>Credit Card</x:v>
      </x:c>
      <x:c r="N33" s="15" t="str">
        <x:v>Consumer</x:v>
      </x:c>
    </x:row>
    <x:row r="34">
      <x:c r="A34" s="13" t="str">
        <x:v>ORD-0033</x:v>
      </x:c>
      <x:c r="B34" s="29" t="n">
        <x:v>45866</x:v>
      </x:c>
      <x:c r="C34" s="14" t="str">
        <x:f>TEXT(B34,"mmm-yyyy")</x:f>
        <x:v>Jul-2025</x:v>
      </x:c>
      <x:c r="D34" s="14" t="str">
        <x:v>Jaipur</x:v>
      </x:c>
      <x:c r="E34" s="14" t="str">
        <x:v>North</x:v>
      </x:c>
      <x:c r="F34" s="14" t="str">
        <x:v>Office Supplies</x:v>
      </x:c>
      <x:c r="G34" s="14" t="str">
        <x:v>Printer Paper</x:v>
      </x:c>
      <x:c r="H34" s="47" t="n">
        <x:v>1</x:v>
      </x:c>
      <x:c r="I34" s="35" t="n">
        <x:v>393</x:v>
      </x:c>
      <x:c r="J34" s="41" t="n">
        <x:v>0</x:v>
      </x:c>
      <x:c r="K34" s="35" t="n">
        <x:f>ROUND(H34*I34*(1-J34),0)</x:f>
        <x:v>393</x:v>
      </x:c>
      <x:c r="L34" s="35" t="n">
        <x:f>ROUND(K34*IF(F34="Electronics",18%,IF(F34="Office Supplies",22%,IF(F34="Furniture",15%,25%))),0)</x:f>
        <x:v>86</x:v>
      </x:c>
      <x:c r="M34" s="14" t="str">
        <x:v>Cash</x:v>
      </x:c>
      <x:c r="N34" s="15" t="str">
        <x:v>Consumer</x:v>
      </x:c>
    </x:row>
    <x:row r="35">
      <x:c r="A35" s="13" t="str">
        <x:v>ORD-0034</x:v>
      </x:c>
      <x:c r="B35" s="29" t="n">
        <x:v>45857</x:v>
      </x:c>
      <x:c r="C35" s="14" t="str">
        <x:f>TEXT(B35,"mmm-yyyy")</x:f>
        <x:v>Jul-2025</x:v>
      </x:c>
      <x:c r="D35" s="14" t="str">
        <x:v>Bengaluru</x:v>
      </x:c>
      <x:c r="E35" s="14" t="str">
        <x:v>South</x:v>
      </x:c>
      <x:c r="F35" s="14" t="str">
        <x:v>Accessories</x:v>
      </x:c>
      <x:c r="G35" s="14" t="str">
        <x:v>Desk Lamp</x:v>
      </x:c>
      <x:c r="H35" s="47" t="n">
        <x:v>5</x:v>
      </x:c>
      <x:c r="I35" s="35" t="n">
        <x:v>893</x:v>
      </x:c>
      <x:c r="J35" s="41" t="n">
        <x:v>0.05</x:v>
      </x:c>
      <x:c r="K35" s="35" t="n">
        <x:f>ROUND(H35*I35*(1-J35),0)</x:f>
        <x:v>4242</x:v>
      </x:c>
      <x:c r="L35" s="35" t="n">
        <x:f>ROUND(K35*IF(F35="Electronics",18%,IF(F35="Office Supplies",22%,IF(F35="Furniture",15%,25%))),0)</x:f>
        <x:v>1061</x:v>
      </x:c>
      <x:c r="M35" s="14" t="str">
        <x:v>Net Banking</x:v>
      </x:c>
      <x:c r="N35" s="15" t="str">
        <x:v>Home Office</x:v>
      </x:c>
    </x:row>
    <x:row r="36">
      <x:c r="A36" s="13" t="str">
        <x:v>ORD-0035</x:v>
      </x:c>
      <x:c r="B36" s="29" t="n">
        <x:v>45907</x:v>
      </x:c>
      <x:c r="C36" s="14" t="str">
        <x:f>TEXT(B36,"mmm-yyyy")</x:f>
        <x:v>Sep-2025</x:v>
      </x:c>
      <x:c r="D36" s="14" t="str">
        <x:v>Mumbai</x:v>
      </x:c>
      <x:c r="E36" s="14" t="str">
        <x:v>West</x:v>
      </x:c>
      <x:c r="F36" s="14" t="str">
        <x:v>Electronics</x:v>
      </x:c>
      <x:c r="G36" s="14" t="str">
        <x:v>USB-C Cable</x:v>
      </x:c>
      <x:c r="H36" s="47" t="n">
        <x:v>2</x:v>
      </x:c>
      <x:c r="I36" s="35" t="n">
        <x:v>321</x:v>
      </x:c>
      <x:c r="J36" s="41" t="n">
        <x:v>0.05</x:v>
      </x:c>
      <x:c r="K36" s="35" t="n">
        <x:f>ROUND(H36*I36*(1-J36),0)</x:f>
        <x:v>610</x:v>
      </x:c>
      <x:c r="L36" s="35" t="n">
        <x:f>ROUND(K36*IF(F36="Electronics",18%,IF(F36="Office Supplies",22%,IF(F36="Furniture",15%,25%))),0)</x:f>
        <x:v>110</x:v>
      </x:c>
      <x:c r="M36" s="14" t="str">
        <x:v>Net Banking</x:v>
      </x:c>
      <x:c r="N36" s="15" t="str">
        <x:v>Consumer</x:v>
      </x:c>
    </x:row>
    <x:row r="37">
      <x:c r="A37" s="13" t="str">
        <x:v>ORD-0036</x:v>
      </x:c>
      <x:c r="B37" s="29" t="n">
        <x:v>45818</x:v>
      </x:c>
      <x:c r="C37" s="14" t="str">
        <x:f>TEXT(B37,"mmm-yyyy")</x:f>
        <x:v>Jun-2025</x:v>
      </x:c>
      <x:c r="D37" s="14" t="str">
        <x:v>Nagpur</x:v>
      </x:c>
      <x:c r="E37" s="14" t="str">
        <x:v>West</x:v>
      </x:c>
      <x:c r="F37" s="14" t="str">
        <x:v>Electronics</x:v>
      </x:c>
      <x:c r="G37" s="14" t="str">
        <x:v>Laptop Stand</x:v>
      </x:c>
      <x:c r="H37" s="47" t="n">
        <x:v>3</x:v>
      </x:c>
      <x:c r="I37" s="35" t="n">
        <x:v>1300</x:v>
      </x:c>
      <x:c r="J37" s="41" t="n">
        <x:v>0.15</x:v>
      </x:c>
      <x:c r="K37" s="35" t="n">
        <x:f>ROUND(H37*I37*(1-J37),0)</x:f>
        <x:v>3315</x:v>
      </x:c>
      <x:c r="L37" s="35" t="n">
        <x:f>ROUND(K37*IF(F37="Electronics",18%,IF(F37="Office Supplies",22%,IF(F37="Furniture",15%,25%))),0)</x:f>
        <x:v>597</x:v>
      </x:c>
      <x:c r="M37" s="14" t="str">
        <x:v>Credit Card</x:v>
      </x:c>
      <x:c r="N37" s="15" t="str">
        <x:v>Consumer</x:v>
      </x:c>
    </x:row>
    <x:row r="38">
      <x:c r="A38" s="13" t="str">
        <x:v>ORD-0037</x:v>
      </x:c>
      <x:c r="B38" s="29" t="n">
        <x:v>45918</x:v>
      </x:c>
      <x:c r="C38" s="14" t="str">
        <x:f>TEXT(B38,"mmm-yyyy")</x:f>
        <x:v>Sep-2025</x:v>
      </x:c>
      <x:c r="D38" s="14" t="str">
        <x:v>Pune</x:v>
      </x:c>
      <x:c r="E38" s="14" t="str">
        <x:v>West</x:v>
      </x:c>
      <x:c r="F38" s="14" t="str">
        <x:v>Accessories</x:v>
      </x:c>
      <x:c r="G38" s="14" t="str">
        <x:v>Laptop Sleeve</x:v>
      </x:c>
      <x:c r="H38" s="47" t="n">
        <x:v>1</x:v>
      </x:c>
      <x:c r="I38" s="35" t="n">
        <x:v>710</x:v>
      </x:c>
      <x:c r="J38" s="41" t="n">
        <x:v>0.1</x:v>
      </x:c>
      <x:c r="K38" s="35" t="n">
        <x:f>ROUND(H38*I38*(1-J38),0)</x:f>
        <x:v>639</x:v>
      </x:c>
      <x:c r="L38" s="35" t="n">
        <x:f>ROUND(K38*IF(F38="Electronics",18%,IF(F38="Office Supplies",22%,IF(F38="Furniture",15%,25%))),0)</x:f>
        <x:v>160</x:v>
      </x:c>
      <x:c r="M38" s="14" t="str">
        <x:v>Credit Card</x:v>
      </x:c>
      <x:c r="N38" s="15" t="str">
        <x:v>Corporate</x:v>
      </x:c>
    </x:row>
    <x:row r="39">
      <x:c r="A39" s="13" t="str">
        <x:v>ORD-0038</x:v>
      </x:c>
      <x:c r="B39" s="29" t="n">
        <x:v>45719</x:v>
      </x:c>
      <x:c r="C39" s="14" t="str">
        <x:f>TEXT(B39,"mmm-yyyy")</x:f>
        <x:v>Mar-2025</x:v>
      </x:c>
      <x:c r="D39" s="14" t="str">
        <x:v>Bhopal</x:v>
      </x:c>
      <x:c r="E39" s="14" t="str">
        <x:v>Central</x:v>
      </x:c>
      <x:c r="F39" s="14" t="str">
        <x:v>Electronics</x:v>
      </x:c>
      <x:c r="G39" s="14" t="str">
        <x:v>USB-C Cable</x:v>
      </x:c>
      <x:c r="H39" s="47" t="n">
        <x:v>3</x:v>
      </x:c>
      <x:c r="I39" s="35" t="n">
        <x:v>277</x:v>
      </x:c>
      <x:c r="J39" s="41" t="n">
        <x:v>0</x:v>
      </x:c>
      <x:c r="K39" s="35" t="n">
        <x:f>ROUND(H39*I39*(1-J39),0)</x:f>
        <x:v>831</x:v>
      </x:c>
      <x:c r="L39" s="35" t="n">
        <x:f>ROUND(K39*IF(F39="Electronics",18%,IF(F39="Office Supplies",22%,IF(F39="Furniture",15%,25%))),0)</x:f>
        <x:v>150</x:v>
      </x:c>
      <x:c r="M39" s="14" t="str">
        <x:v>Net Banking</x:v>
      </x:c>
      <x:c r="N39" s="15" t="str">
        <x:v>Home Office</x:v>
      </x:c>
    </x:row>
    <x:row r="40">
      <x:c r="A40" s="13" t="str">
        <x:v>ORD-0039</x:v>
      </x:c>
      <x:c r="B40" s="29" t="n">
        <x:v>45925</x:v>
      </x:c>
      <x:c r="C40" s="14" t="str">
        <x:f>TEXT(B40,"mmm-yyyy")</x:f>
        <x:v>Sep-2025</x:v>
      </x:c>
      <x:c r="D40" s="14" t="str">
        <x:v>Chennai</x:v>
      </x:c>
      <x:c r="E40" s="14" t="str">
        <x:v>South</x:v>
      </x:c>
      <x:c r="F40" s="14" t="str">
        <x:v>Accessories</x:v>
      </x:c>
      <x:c r="G40" s="14" t="str">
        <x:v>Desk Lamp</x:v>
      </x:c>
      <x:c r="H40" s="47" t="n">
        <x:v>2</x:v>
      </x:c>
      <x:c r="I40" s="35" t="n">
        <x:v>923</x:v>
      </x:c>
      <x:c r="J40" s="41" t="n">
        <x:v>0</x:v>
      </x:c>
      <x:c r="K40" s="35" t="n">
        <x:f>ROUND(H40*I40*(1-J40),0)</x:f>
        <x:v>1846</x:v>
      </x:c>
      <x:c r="L40" s="35" t="n">
        <x:f>ROUND(K40*IF(F40="Electronics",18%,IF(F40="Office Supplies",22%,IF(F40="Furniture",15%,25%))),0)</x:f>
        <x:v>462</x:v>
      </x:c>
      <x:c r="M40" s="14" t="str">
        <x:v>Debit Card</x:v>
      </x:c>
      <x:c r="N40" s="15" t="str">
        <x:v>Corporate</x:v>
      </x:c>
    </x:row>
    <x:row r="41">
      <x:c r="A41" s="13" t="str">
        <x:v>ORD-0040</x:v>
      </x:c>
      <x:c r="B41" s="29" t="n">
        <x:v>45725</x:v>
      </x:c>
      <x:c r="C41" s="14" t="str">
        <x:f>TEXT(B41,"mmm-yyyy")</x:f>
        <x:v>Mar-2025</x:v>
      </x:c>
      <x:c r="D41" s="14" t="str">
        <x:v>Bengaluru</x:v>
      </x:c>
      <x:c r="E41" s="14" t="str">
        <x:v>South</x:v>
      </x:c>
      <x:c r="F41" s="14" t="str">
        <x:v>Office Supplies</x:v>
      </x:c>
      <x:c r="G41" s="14" t="str">
        <x:v>Printer Paper</x:v>
      </x:c>
      <x:c r="H41" s="47" t="n">
        <x:v>2</x:v>
      </x:c>
      <x:c r="I41" s="35" t="n">
        <x:v>415</x:v>
      </x:c>
      <x:c r="J41" s="41" t="n">
        <x:v>0</x:v>
      </x:c>
      <x:c r="K41" s="35" t="n">
        <x:f>ROUND(H41*I41*(1-J41),0)</x:f>
        <x:v>830</x:v>
      </x:c>
      <x:c r="L41" s="35" t="n">
        <x:f>ROUND(K41*IF(F41="Electronics",18%,IF(F41="Office Supplies",22%,IF(F41="Furniture",15%,25%))),0)</x:f>
        <x:v>183</x:v>
      </x:c>
      <x:c r="M41" s="14" t="str">
        <x:v>Cash</x:v>
      </x:c>
      <x:c r="N41" s="15" t="str">
        <x:v>Home Office</x:v>
      </x:c>
    </x:row>
    <x:row r="42">
      <x:c r="A42" s="13" t="str">
        <x:v>ORD-0041</x:v>
      </x:c>
      <x:c r="B42" s="29" t="n">
        <x:v>45946</x:v>
      </x:c>
      <x:c r="C42" s="14" t="str">
        <x:f>TEXT(B42,"mmm-yyyy")</x:f>
        <x:v>Oct-2025</x:v>
      </x:c>
      <x:c r="D42" s="14" t="str">
        <x:v>Pune</x:v>
      </x:c>
      <x:c r="E42" s="14" t="str">
        <x:v>West</x:v>
      </x:c>
      <x:c r="F42" s="14" t="str">
        <x:v>Electronics</x:v>
      </x:c>
      <x:c r="G42" s="14" t="str">
        <x:v>Wireless Mouse</x:v>
      </x:c>
      <x:c r="H42" s="47" t="n">
        <x:v>3</x:v>
      </x:c>
      <x:c r="I42" s="35" t="n">
        <x:v>800</x:v>
      </x:c>
      <x:c r="J42" s="41" t="n">
        <x:v>0</x:v>
      </x:c>
      <x:c r="K42" s="35" t="n">
        <x:f>ROUND(H42*I42*(1-J42),0)</x:f>
        <x:v>2400</x:v>
      </x:c>
      <x:c r="L42" s="35" t="n">
        <x:f>ROUND(K42*IF(F42="Electronics",18%,IF(F42="Office Supplies",22%,IF(F42="Furniture",15%,25%))),0)</x:f>
        <x:v>432</x:v>
      </x:c>
      <x:c r="M42" s="14" t="str">
        <x:v>Debit Card</x:v>
      </x:c>
      <x:c r="N42" s="15" t="str">
        <x:v>Consumer</x:v>
      </x:c>
    </x:row>
    <x:row r="43">
      <x:c r="A43" s="13" t="str">
        <x:v>ORD-0042</x:v>
      </x:c>
      <x:c r="B43" s="29" t="n">
        <x:v>45783</x:v>
      </x:c>
      <x:c r="C43" s="14" t="str">
        <x:f>TEXT(B43,"mmm-yyyy")</x:f>
        <x:v>May-2025</x:v>
      </x:c>
      <x:c r="D43" s="14" t="str">
        <x:v>Chennai</x:v>
      </x:c>
      <x:c r="E43" s="14" t="str">
        <x:v>South</x:v>
      </x:c>
      <x:c r="F43" s="14" t="str">
        <x:v>Office Supplies</x:v>
      </x:c>
      <x:c r="G43" s="14" t="str">
        <x:v>Notebook Pack</x:v>
      </x:c>
      <x:c r="H43" s="47" t="n">
        <x:v>1</x:v>
      </x:c>
      <x:c r="I43" s="35" t="n">
        <x:v>262</x:v>
      </x:c>
      <x:c r="J43" s="41" t="n">
        <x:v>0.1</x:v>
      </x:c>
      <x:c r="K43" s="35" t="n">
        <x:f>ROUND(H43*I43*(1-J43),0)</x:f>
        <x:v>236</x:v>
      </x:c>
      <x:c r="L43" s="35" t="n">
        <x:f>ROUND(K43*IF(F43="Electronics",18%,IF(F43="Office Supplies",22%,IF(F43="Furniture",15%,25%))),0)</x:f>
        <x:v>52</x:v>
      </x:c>
      <x:c r="M43" s="14" t="str">
        <x:v>Net Banking</x:v>
      </x:c>
      <x:c r="N43" s="15" t="str">
        <x:v>Home Office</x:v>
      </x:c>
    </x:row>
    <x:row r="44">
      <x:c r="A44" s="13" t="str">
        <x:v>ORD-0043</x:v>
      </x:c>
      <x:c r="B44" s="29" t="n">
        <x:v>45928</x:v>
      </x:c>
      <x:c r="C44" s="14" t="str">
        <x:f>TEXT(B44,"mmm-yyyy")</x:f>
        <x:v>Sep-2025</x:v>
      </x:c>
      <x:c r="D44" s="14" t="str">
        <x:v>Nagpur</x:v>
      </x:c>
      <x:c r="E44" s="14" t="str">
        <x:v>West</x:v>
      </x:c>
      <x:c r="F44" s="14" t="str">
        <x:v>Furniture</x:v>
      </x:c>
      <x:c r="G44" s="14" t="str">
        <x:v>Bookshelf</x:v>
      </x:c>
      <x:c r="H44" s="47" t="n">
        <x:v>5</x:v>
      </x:c>
      <x:c r="I44" s="35" t="n">
        <x:v>3387</x:v>
      </x:c>
      <x:c r="J44" s="41" t="n">
        <x:v>0.1</x:v>
      </x:c>
      <x:c r="K44" s="35" t="n">
        <x:f>ROUND(H44*I44*(1-J44),0)</x:f>
        <x:v>15242</x:v>
      </x:c>
      <x:c r="L44" s="35" t="n">
        <x:f>ROUND(K44*IF(F44="Electronics",18%,IF(F44="Office Supplies",22%,IF(F44="Furniture",15%,25%))),0)</x:f>
        <x:v>2286</x:v>
      </x:c>
      <x:c r="M44" s="14" t="str">
        <x:v>Credit Card</x:v>
      </x:c>
      <x:c r="N44" s="15" t="str">
        <x:v>Corporate</x:v>
      </x:c>
    </x:row>
    <x:row r="45">
      <x:c r="A45" s="13" t="str">
        <x:v>ORD-0044</x:v>
      </x:c>
      <x:c r="B45" s="29" t="n">
        <x:v>45717</x:v>
      </x:c>
      <x:c r="C45" s="14" t="str">
        <x:f>TEXT(B45,"mmm-yyyy")</x:f>
        <x:v>Mar-2025</x:v>
      </x:c>
      <x:c r="D45" s="14" t="str">
        <x:v>Pune</x:v>
      </x:c>
      <x:c r="E45" s="14" t="str">
        <x:v>West</x:v>
      </x:c>
      <x:c r="F45" s="14" t="str">
        <x:v>Accessories</x:v>
      </x:c>
      <x:c r="G45" s="14" t="str">
        <x:v>Backpack</x:v>
      </x:c>
      <x:c r="H45" s="47" t="n">
        <x:v>3</x:v>
      </x:c>
      <x:c r="I45" s="35" t="n">
        <x:v>1155</x:v>
      </x:c>
      <x:c r="J45" s="41" t="n">
        <x:v>0.05</x:v>
      </x:c>
      <x:c r="K45" s="35" t="n">
        <x:f>ROUND(H45*I45*(1-J45),0)</x:f>
        <x:v>3292</x:v>
      </x:c>
      <x:c r="L45" s="35" t="n">
        <x:f>ROUND(K45*IF(F45="Electronics",18%,IF(F45="Office Supplies",22%,IF(F45="Furniture",15%,25%))),0)</x:f>
        <x:v>823</x:v>
      </x:c>
      <x:c r="M45" s="14" t="str">
        <x:v>Debit Card</x:v>
      </x:c>
      <x:c r="N45" s="15" t="str">
        <x:v>Consumer</x:v>
      </x:c>
    </x:row>
    <x:row r="46">
      <x:c r="A46" s="13" t="str">
        <x:v>ORD-0045</x:v>
      </x:c>
      <x:c r="B46" s="29" t="n">
        <x:v>46009</x:v>
      </x:c>
      <x:c r="C46" s="14" t="str">
        <x:f>TEXT(B46,"mmm-yyyy")</x:f>
        <x:v>Dec-2025</x:v>
      </x:c>
      <x:c r="D46" s="14" t="str">
        <x:v>Bengaluru</x:v>
      </x:c>
      <x:c r="E46" s="14" t="str">
        <x:v>South</x:v>
      </x:c>
      <x:c r="F46" s="14" t="str">
        <x:v>Furniture</x:v>
      </x:c>
      <x:c r="G46" s="14" t="str">
        <x:v>Office Chair</x:v>
      </x:c>
      <x:c r="H46" s="47" t="n">
        <x:v>3</x:v>
      </x:c>
      <x:c r="I46" s="35" t="n">
        <x:v>5323</x:v>
      </x:c>
      <x:c r="J46" s="41" t="n">
        <x:v>0.15</x:v>
      </x:c>
      <x:c r="K46" s="35" t="n">
        <x:f>ROUND(H46*I46*(1-J46),0)</x:f>
        <x:v>13574</x:v>
      </x:c>
      <x:c r="L46" s="35" t="n">
        <x:f>ROUND(K46*IF(F46="Electronics",18%,IF(F46="Office Supplies",22%,IF(F46="Furniture",15%,25%))),0)</x:f>
        <x:v>2036</x:v>
      </x:c>
      <x:c r="M46" s="14" t="str">
        <x:v>UPI</x:v>
      </x:c>
      <x:c r="N46" s="15" t="str">
        <x:v>Home Office</x:v>
      </x:c>
    </x:row>
    <x:row r="47">
      <x:c r="A47" s="13" t="str">
        <x:v>ORD-0046</x:v>
      </x:c>
      <x:c r="B47" s="29" t="n">
        <x:v>45874</x:v>
      </x:c>
      <x:c r="C47" s="14" t="str">
        <x:f>TEXT(B47,"mmm-yyyy")</x:f>
        <x:v>Aug-2025</x:v>
      </x:c>
      <x:c r="D47" s="14" t="str">
        <x:v>Bengaluru</x:v>
      </x:c>
      <x:c r="E47" s="14" t="str">
        <x:v>South</x:v>
      </x:c>
      <x:c r="F47" s="14" t="str">
        <x:v>Electronics</x:v>
      </x:c>
      <x:c r="G47" s="14" t="str">
        <x:v>Laptop Stand</x:v>
      </x:c>
      <x:c r="H47" s="47" t="n">
        <x:v>1</x:v>
      </x:c>
      <x:c r="I47" s="35" t="n">
        <x:v>1355</x:v>
      </x:c>
      <x:c r="J47" s="41" t="n">
        <x:v>0.05</x:v>
      </x:c>
      <x:c r="K47" s="35" t="n">
        <x:f>ROUND(H47*I47*(1-J47),0)</x:f>
        <x:v>1287</x:v>
      </x:c>
      <x:c r="L47" s="35" t="n">
        <x:f>ROUND(K47*IF(F47="Electronics",18%,IF(F47="Office Supplies",22%,IF(F47="Furniture",15%,25%))),0)</x:f>
        <x:v>232</x:v>
      </x:c>
      <x:c r="M47" s="14" t="str">
        <x:v>Debit Card</x:v>
      </x:c>
      <x:c r="N47" s="15" t="str">
        <x:v>Consumer</x:v>
      </x:c>
    </x:row>
    <x:row r="48">
      <x:c r="A48" s="13" t="str">
        <x:v>ORD-0047</x:v>
      </x:c>
      <x:c r="B48" s="29" t="n">
        <x:v>45884</x:v>
      </x:c>
      <x:c r="C48" s="14" t="str">
        <x:f>TEXT(B48,"mmm-yyyy")</x:f>
        <x:v>Aug-2025</x:v>
      </x:c>
      <x:c r="D48" s="14" t="str">
        <x:v>Kolkata</x:v>
      </x:c>
      <x:c r="E48" s="14" t="str">
        <x:v>East</x:v>
      </x:c>
      <x:c r="F48" s="14" t="str">
        <x:v>Accessories</x:v>
      </x:c>
      <x:c r="G48" s="14" t="str">
        <x:v>Backpack</x:v>
      </x:c>
      <x:c r="H48" s="47" t="n">
        <x:v>2</x:v>
      </x:c>
      <x:c r="I48" s="35" t="n">
        <x:v>1105</x:v>
      </x:c>
      <x:c r="J48" s="41" t="n">
        <x:v>0</x:v>
      </x:c>
      <x:c r="K48" s="35" t="n">
        <x:f>ROUND(H48*I48*(1-J48),0)</x:f>
        <x:v>2210</x:v>
      </x:c>
      <x:c r="L48" s="35" t="n">
        <x:f>ROUND(K48*IF(F48="Electronics",18%,IF(F48="Office Supplies",22%,IF(F48="Furniture",15%,25%))),0)</x:f>
        <x:v>553</x:v>
      </x:c>
      <x:c r="M48" s="14" t="str">
        <x:v>Credit Card</x:v>
      </x:c>
      <x:c r="N48" s="15" t="str">
        <x:v>Home Office</x:v>
      </x:c>
    </x:row>
    <x:row r="49">
      <x:c r="A49" s="13" t="str">
        <x:v>ORD-0048</x:v>
      </x:c>
      <x:c r="B49" s="29" t="n">
        <x:v>45676</x:v>
      </x:c>
      <x:c r="C49" s="14" t="str">
        <x:f>TEXT(B49,"mmm-yyyy")</x:f>
        <x:v>Jan-2025</x:v>
      </x:c>
      <x:c r="D49" s="14" t="str">
        <x:v>Chennai</x:v>
      </x:c>
      <x:c r="E49" s="14" t="str">
        <x:v>South</x:v>
      </x:c>
      <x:c r="F49" s="14" t="str">
        <x:v>Furniture</x:v>
      </x:c>
      <x:c r="G49" s="14" t="str">
        <x:v>Study Table</x:v>
      </x:c>
      <x:c r="H49" s="47" t="n">
        <x:v>3</x:v>
      </x:c>
      <x:c r="I49" s="35" t="n">
        <x:v>6920</x:v>
      </x:c>
      <x:c r="J49" s="41" t="n">
        <x:v>0</x:v>
      </x:c>
      <x:c r="K49" s="35" t="n">
        <x:f>ROUND(H49*I49*(1-J49),0)</x:f>
        <x:v>20760</x:v>
      </x:c>
      <x:c r="L49" s="35" t="n">
        <x:f>ROUND(K49*IF(F49="Electronics",18%,IF(F49="Office Supplies",22%,IF(F49="Furniture",15%,25%))),0)</x:f>
        <x:v>3114</x:v>
      </x:c>
      <x:c r="M49" s="14" t="str">
        <x:v>Debit Card</x:v>
      </x:c>
      <x:c r="N49" s="15" t="str">
        <x:v>Consumer</x:v>
      </x:c>
    </x:row>
    <x:row r="50">
      <x:c r="A50" s="13" t="str">
        <x:v>ORD-0049</x:v>
      </x:c>
      <x:c r="B50" s="29" t="n">
        <x:v>45841</x:v>
      </x:c>
      <x:c r="C50" s="14" t="str">
        <x:f>TEXT(B50,"mmm-yyyy")</x:f>
        <x:v>Jul-2025</x:v>
      </x:c>
      <x:c r="D50" s="14" t="str">
        <x:v>Hyderabad</x:v>
      </x:c>
      <x:c r="E50" s="14" t="str">
        <x:v>South</x:v>
      </x:c>
      <x:c r="F50" s="14" t="str">
        <x:v>Furniture</x:v>
      </x:c>
      <x:c r="G50" s="14" t="str">
        <x:v>Bookshelf</x:v>
      </x:c>
      <x:c r="H50" s="47" t="n">
        <x:v>2</x:v>
      </x:c>
      <x:c r="I50" s="35" t="n">
        <x:v>3277</x:v>
      </x:c>
      <x:c r="J50" s="41" t="n">
        <x:v>0.1</x:v>
      </x:c>
      <x:c r="K50" s="35" t="n">
        <x:f>ROUND(H50*I50*(1-J50),0)</x:f>
        <x:v>5899</x:v>
      </x:c>
      <x:c r="L50" s="35" t="n">
        <x:f>ROUND(K50*IF(F50="Electronics",18%,IF(F50="Office Supplies",22%,IF(F50="Furniture",15%,25%))),0)</x:f>
        <x:v>885</x:v>
      </x:c>
      <x:c r="M50" s="14" t="str">
        <x:v>Cash</x:v>
      </x:c>
      <x:c r="N50" s="15" t="str">
        <x:v>Home Office</x:v>
      </x:c>
    </x:row>
    <x:row r="51">
      <x:c r="A51" s="13" t="str">
        <x:v>ORD-0050</x:v>
      </x:c>
      <x:c r="B51" s="29" t="n">
        <x:v>45737</x:v>
      </x:c>
      <x:c r="C51" s="14" t="str">
        <x:f>TEXT(B51,"mmm-yyyy")</x:f>
        <x:v>Mar-2025</x:v>
      </x:c>
      <x:c r="D51" s="14" t="str">
        <x:v>Hyderabad</x:v>
      </x:c>
      <x:c r="E51" s="14" t="str">
        <x:v>South</x:v>
      </x:c>
      <x:c r="F51" s="14" t="str">
        <x:v>Accessories</x:v>
      </x:c>
      <x:c r="G51" s="14" t="str">
        <x:v>Laptop Sleeve</x:v>
      </x:c>
      <x:c r="H51" s="47" t="n">
        <x:v>1</x:v>
      </x:c>
      <x:c r="I51" s="35" t="n">
        <x:v>733</x:v>
      </x:c>
      <x:c r="J51" s="41" t="n">
        <x:v>0</x:v>
      </x:c>
      <x:c r="K51" s="35" t="n">
        <x:f>ROUND(H51*I51*(1-J51),0)</x:f>
        <x:v>733</x:v>
      </x:c>
      <x:c r="L51" s="35" t="n">
        <x:f>ROUND(K51*IF(F51="Electronics",18%,IF(F51="Office Supplies",22%,IF(F51="Furniture",15%,25%))),0)</x:f>
        <x:v>183</x:v>
      </x:c>
      <x:c r="M51" s="14" t="str">
        <x:v>Cash</x:v>
      </x:c>
      <x:c r="N51" s="15" t="str">
        <x:v>Consumer</x:v>
      </x:c>
    </x:row>
    <x:row r="52">
      <x:c r="A52" s="13" t="str">
        <x:v>ORD-0051</x:v>
      </x:c>
      <x:c r="B52" s="29" t="n">
        <x:v>45749</x:v>
      </x:c>
      <x:c r="C52" s="14" t="str">
        <x:f>TEXT(B52,"mmm-yyyy")</x:f>
        <x:v>Apr-2025</x:v>
      </x:c>
      <x:c r="D52" s="14" t="str">
        <x:v>Chennai</x:v>
      </x:c>
      <x:c r="E52" s="14" t="str">
        <x:v>South</x:v>
      </x:c>
      <x:c r="F52" s="14" t="str">
        <x:v>Accessories</x:v>
      </x:c>
      <x:c r="G52" s="14" t="str">
        <x:v>Water Bottle</x:v>
      </x:c>
      <x:c r="H52" s="47" t="n">
        <x:v>7</x:v>
      </x:c>
      <x:c r="I52" s="35" t="n">
        <x:v>366</x:v>
      </x:c>
      <x:c r="J52" s="41" t="n">
        <x:v>0.15</x:v>
      </x:c>
      <x:c r="K52" s="35" t="n">
        <x:f>ROUND(H52*I52*(1-J52),0)</x:f>
        <x:v>2178</x:v>
      </x:c>
      <x:c r="L52" s="35" t="n">
        <x:f>ROUND(K52*IF(F52="Electronics",18%,IF(F52="Office Supplies",22%,IF(F52="Furniture",15%,25%))),0)</x:f>
        <x:v>545</x:v>
      </x:c>
      <x:c r="M52" s="14" t="str">
        <x:v>Credit Card</x:v>
      </x:c>
      <x:c r="N52" s="15" t="str">
        <x:v>Corporate</x:v>
      </x:c>
    </x:row>
    <x:row r="53">
      <x:c r="A53" s="13" t="str">
        <x:v>ORD-0052</x:v>
      </x:c>
      <x:c r="B53" s="29" t="n">
        <x:v>45739</x:v>
      </x:c>
      <x:c r="C53" s="14" t="str">
        <x:f>TEXT(B53,"mmm-yyyy")</x:f>
        <x:v>Mar-2025</x:v>
      </x:c>
      <x:c r="D53" s="14" t="str">
        <x:v>Pune</x:v>
      </x:c>
      <x:c r="E53" s="14" t="str">
        <x:v>West</x:v>
      </x:c>
      <x:c r="F53" s="14" t="str">
        <x:v>Office Supplies</x:v>
      </x:c>
      <x:c r="G53" s="14" t="str">
        <x:v>Ball Pen Set</x:v>
      </x:c>
      <x:c r="H53" s="47" t="n">
        <x:v>6</x:v>
      </x:c>
      <x:c r="I53" s="35" t="n">
        <x:v>210</x:v>
      </x:c>
      <x:c r="J53" s="41" t="n">
        <x:v>0</x:v>
      </x:c>
      <x:c r="K53" s="35" t="n">
        <x:f>ROUND(H53*I53*(1-J53),0)</x:f>
        <x:v>1260</x:v>
      </x:c>
      <x:c r="L53" s="35" t="n">
        <x:f>ROUND(K53*IF(F53="Electronics",18%,IF(F53="Office Supplies",22%,IF(F53="Furniture",15%,25%))),0)</x:f>
        <x:v>277</x:v>
      </x:c>
      <x:c r="M53" s="14" t="str">
        <x:v>Cash</x:v>
      </x:c>
      <x:c r="N53" s="15" t="str">
        <x:v>Corporate</x:v>
      </x:c>
    </x:row>
    <x:row r="54">
      <x:c r="A54" s="13" t="str">
        <x:v>ORD-0053</x:v>
      </x:c>
      <x:c r="B54" s="29" t="n">
        <x:v>45814</x:v>
      </x:c>
      <x:c r="C54" s="14" t="str">
        <x:f>TEXT(B54,"mmm-yyyy")</x:f>
        <x:v>Jun-2025</x:v>
      </x:c>
      <x:c r="D54" s="14" t="str">
        <x:v>Hyderabad</x:v>
      </x:c>
      <x:c r="E54" s="14" t="str">
        <x:v>South</x:v>
      </x:c>
      <x:c r="F54" s="14" t="str">
        <x:v>Electronics</x:v>
      </x:c>
      <x:c r="G54" s="14" t="str">
        <x:v>USB-C Cable</x:v>
      </x:c>
      <x:c r="H54" s="47" t="n">
        <x:v>1</x:v>
      </x:c>
      <x:c r="I54" s="35" t="n">
        <x:v>284</x:v>
      </x:c>
      <x:c r="J54" s="41" t="n">
        <x:v>0</x:v>
      </x:c>
      <x:c r="K54" s="35" t="n">
        <x:f>ROUND(H54*I54*(1-J54),0)</x:f>
        <x:v>284</x:v>
      </x:c>
      <x:c r="L54" s="35" t="n">
        <x:f>ROUND(K54*IF(F54="Electronics",18%,IF(F54="Office Supplies",22%,IF(F54="Furniture",15%,25%))),0)</x:f>
        <x:v>51</x:v>
      </x:c>
      <x:c r="M54" s="14" t="str">
        <x:v>UPI</x:v>
      </x:c>
      <x:c r="N54" s="15" t="str">
        <x:v>Corporate</x:v>
      </x:c>
    </x:row>
    <x:row r="55">
      <x:c r="A55" s="13" t="str">
        <x:v>ORD-0054</x:v>
      </x:c>
      <x:c r="B55" s="29" t="n">
        <x:v>45837</x:v>
      </x:c>
      <x:c r="C55" s="14" t="str">
        <x:f>TEXT(B55,"mmm-yyyy")</x:f>
        <x:v>Jun-2025</x:v>
      </x:c>
      <x:c r="D55" s="14" t="str">
        <x:v>Kolkata</x:v>
      </x:c>
      <x:c r="E55" s="14" t="str">
        <x:v>East</x:v>
      </x:c>
      <x:c r="F55" s="14" t="str">
        <x:v>Office Supplies</x:v>
      </x:c>
      <x:c r="G55" s="14" t="str">
        <x:v>Ball Pen Set</x:v>
      </x:c>
      <x:c r="H55" s="47" t="n">
        <x:v>4</x:v>
      </x:c>
      <x:c r="I55" s="35" t="n">
        <x:v>210</x:v>
      </x:c>
      <x:c r="J55" s="41" t="n">
        <x:v>0</x:v>
      </x:c>
      <x:c r="K55" s="35" t="n">
        <x:f>ROUND(H55*I55*(1-J55),0)</x:f>
        <x:v>840</x:v>
      </x:c>
      <x:c r="L55" s="35" t="n">
        <x:f>ROUND(K55*IF(F55="Electronics",18%,IF(F55="Office Supplies",22%,IF(F55="Furniture",15%,25%))),0)</x:f>
        <x:v>185</x:v>
      </x:c>
      <x:c r="M55" s="14" t="str">
        <x:v>UPI</x:v>
      </x:c>
      <x:c r="N55" s="15" t="str">
        <x:v>Consumer</x:v>
      </x:c>
    </x:row>
    <x:row r="56">
      <x:c r="A56" s="13" t="str">
        <x:v>ORD-0055</x:v>
      </x:c>
      <x:c r="B56" s="29" t="n">
        <x:v>45791</x:v>
      </x:c>
      <x:c r="C56" s="14" t="str">
        <x:f>TEXT(B56,"mmm-yyyy")</x:f>
        <x:v>May-2025</x:v>
      </x:c>
      <x:c r="D56" s="14" t="str">
        <x:v>Mumbai</x:v>
      </x:c>
      <x:c r="E56" s="14" t="str">
        <x:v>West</x:v>
      </x:c>
      <x:c r="F56" s="14" t="str">
        <x:v>Furniture</x:v>
      </x:c>
      <x:c r="G56" s="14" t="str">
        <x:v>Study Table</x:v>
      </x:c>
      <x:c r="H56" s="47" t="n">
        <x:v>7</x:v>
      </x:c>
      <x:c r="I56" s="35" t="n">
        <x:v>6736</x:v>
      </x:c>
      <x:c r="J56" s="41" t="n">
        <x:v>0</x:v>
      </x:c>
      <x:c r="K56" s="35" t="n">
        <x:f>ROUND(H56*I56*(1-J56),0)</x:f>
        <x:v>47152</x:v>
      </x:c>
      <x:c r="L56" s="35" t="n">
        <x:f>ROUND(K56*IF(F56="Electronics",18%,IF(F56="Office Supplies",22%,IF(F56="Furniture",15%,25%))),0)</x:f>
        <x:v>7073</x:v>
      </x:c>
      <x:c r="M56" s="14" t="str">
        <x:v>Cash</x:v>
      </x:c>
      <x:c r="N56" s="15" t="str">
        <x:v>Corporate</x:v>
      </x:c>
    </x:row>
    <x:row r="57">
      <x:c r="A57" s="13" t="str">
        <x:v>ORD-0056</x:v>
      </x:c>
      <x:c r="B57" s="29" t="n">
        <x:v>45818</x:v>
      </x:c>
      <x:c r="C57" s="14" t="str">
        <x:f>TEXT(B57,"mmm-yyyy")</x:f>
        <x:v>Jun-2025</x:v>
      </x:c>
      <x:c r="D57" s="14" t="str">
        <x:v>Delhi</x:v>
      </x:c>
      <x:c r="E57" s="14" t="str">
        <x:v>North</x:v>
      </x:c>
      <x:c r="F57" s="14" t="str">
        <x:v>Furniture</x:v>
      </x:c>
      <x:c r="G57" s="14" t="str">
        <x:v>Study Table</x:v>
      </x:c>
      <x:c r="H57" s="47" t="n">
        <x:v>8</x:v>
      </x:c>
      <x:c r="I57" s="35" t="n">
        <x:v>6569</x:v>
      </x:c>
      <x:c r="J57" s="41" t="n">
        <x:v>0.15</x:v>
      </x:c>
      <x:c r="K57" s="35" t="n">
        <x:f>ROUND(H57*I57*(1-J57),0)</x:f>
        <x:v>44669</x:v>
      </x:c>
      <x:c r="L57" s="35" t="n">
        <x:f>ROUND(K57*IF(F57="Electronics",18%,IF(F57="Office Supplies",22%,IF(F57="Furniture",15%,25%))),0)</x:f>
        <x:v>6700</x:v>
      </x:c>
      <x:c r="M57" s="14" t="str">
        <x:v>Credit Card</x:v>
      </x:c>
      <x:c r="N57" s="15" t="str">
        <x:v>Corporate</x:v>
      </x:c>
    </x:row>
    <x:row r="58">
      <x:c r="A58" s="13" t="str">
        <x:v>ORD-0057</x:v>
      </x:c>
      <x:c r="B58" s="29" t="n">
        <x:v>45680</x:v>
      </x:c>
      <x:c r="C58" s="14" t="str">
        <x:f>TEXT(B58,"mmm-yyyy")</x:f>
        <x:v>Jan-2025</x:v>
      </x:c>
      <x:c r="D58" s="14" t="str">
        <x:v>Delhi</x:v>
      </x:c>
      <x:c r="E58" s="14" t="str">
        <x:v>North</x:v>
      </x:c>
      <x:c r="F58" s="14" t="str">
        <x:v>Electronics</x:v>
      </x:c>
      <x:c r="G58" s="14" t="str">
        <x:v>Laptop Stand</x:v>
      </x:c>
      <x:c r="H58" s="47" t="n">
        <x:v>3</x:v>
      </x:c>
      <x:c r="I58" s="35" t="n">
        <x:v>1363</x:v>
      </x:c>
      <x:c r="J58" s="41" t="n">
        <x:v>0.1</x:v>
      </x:c>
      <x:c r="K58" s="35" t="n">
        <x:f>ROUND(H58*I58*(1-J58),0)</x:f>
        <x:v>3680</x:v>
      </x:c>
      <x:c r="L58" s="35" t="n">
        <x:f>ROUND(K58*IF(F58="Electronics",18%,IF(F58="Office Supplies",22%,IF(F58="Furniture",15%,25%))),0)</x:f>
        <x:v>662</x:v>
      </x:c>
      <x:c r="M58" s="14" t="str">
        <x:v>Credit Card</x:v>
      </x:c>
      <x:c r="N58" s="15" t="str">
        <x:v>Corporate</x:v>
      </x:c>
    </x:row>
    <x:row r="59">
      <x:c r="A59" s="13" t="str">
        <x:v>ORD-0058</x:v>
      </x:c>
      <x:c r="B59" s="29" t="n">
        <x:v>45878</x:v>
      </x:c>
      <x:c r="C59" s="14" t="str">
        <x:f>TEXT(B59,"mmm-yyyy")</x:f>
        <x:v>Aug-2025</x:v>
      </x:c>
      <x:c r="D59" s="14" t="str">
        <x:v>Pune</x:v>
      </x:c>
      <x:c r="E59" s="14" t="str">
        <x:v>West</x:v>
      </x:c>
      <x:c r="F59" s="14" t="str">
        <x:v>Furniture</x:v>
      </x:c>
      <x:c r="G59" s="14" t="str">
        <x:v>Bookshelf</x:v>
      </x:c>
      <x:c r="H59" s="47" t="n">
        <x:v>6</x:v>
      </x:c>
      <x:c r="I59" s="35" t="n">
        <x:v>3568</x:v>
      </x:c>
      <x:c r="J59" s="41" t="n">
        <x:v>0.1</x:v>
      </x:c>
      <x:c r="K59" s="35" t="n">
        <x:f>ROUND(H59*I59*(1-J59),0)</x:f>
        <x:v>19267</x:v>
      </x:c>
      <x:c r="L59" s="35" t="n">
        <x:f>ROUND(K59*IF(F59="Electronics",18%,IF(F59="Office Supplies",22%,IF(F59="Furniture",15%,25%))),0)</x:f>
        <x:v>2890</x:v>
      </x:c>
      <x:c r="M59" s="14" t="str">
        <x:v>UPI</x:v>
      </x:c>
      <x:c r="N59" s="15" t="str">
        <x:v>Home Office</x:v>
      </x:c>
    </x:row>
    <x:row r="60">
      <x:c r="A60" s="13" t="str">
        <x:v>ORD-0059</x:v>
      </x:c>
      <x:c r="B60" s="29" t="n">
        <x:v>45811</x:v>
      </x:c>
      <x:c r="C60" s="14" t="str">
        <x:f>TEXT(B60,"mmm-yyyy")</x:f>
        <x:v>Jun-2025</x:v>
      </x:c>
      <x:c r="D60" s="14" t="str">
        <x:v>Kolkata</x:v>
      </x:c>
      <x:c r="E60" s="14" t="str">
        <x:v>East</x:v>
      </x:c>
      <x:c r="F60" s="14" t="str">
        <x:v>Office Supplies</x:v>
      </x:c>
      <x:c r="G60" s="14" t="str">
        <x:v>Notebook Pack</x:v>
      </x:c>
      <x:c r="H60" s="47" t="n">
        <x:v>4</x:v>
      </x:c>
      <x:c r="I60" s="35" t="n">
        <x:v>242</x:v>
      </x:c>
      <x:c r="J60" s="41" t="n">
        <x:v>0.1</x:v>
      </x:c>
      <x:c r="K60" s="35" t="n">
        <x:f>ROUND(H60*I60*(1-J60),0)</x:f>
        <x:v>871</x:v>
      </x:c>
      <x:c r="L60" s="35" t="n">
        <x:f>ROUND(K60*IF(F60="Electronics",18%,IF(F60="Office Supplies",22%,IF(F60="Furniture",15%,25%))),0)</x:f>
        <x:v>192</x:v>
      </x:c>
      <x:c r="M60" s="14" t="str">
        <x:v>Net Banking</x:v>
      </x:c>
      <x:c r="N60" s="15" t="str">
        <x:v>Consumer</x:v>
      </x:c>
    </x:row>
    <x:row r="61">
      <x:c r="A61" s="13" t="str">
        <x:v>ORD-0060</x:v>
      </x:c>
      <x:c r="B61" s="29" t="n">
        <x:v>45756</x:v>
      </x:c>
      <x:c r="C61" s="14" t="str">
        <x:f>TEXT(B61,"mmm-yyyy")</x:f>
        <x:v>Apr-2025</x:v>
      </x:c>
      <x:c r="D61" s="14" t="str">
        <x:v>Delhi</x:v>
      </x:c>
      <x:c r="E61" s="14" t="str">
        <x:v>North</x:v>
      </x:c>
      <x:c r="F61" s="14" t="str">
        <x:v>Furniture</x:v>
      </x:c>
      <x:c r="G61" s="14" t="str">
        <x:v>Bookshelf</x:v>
      </x:c>
      <x:c r="H61" s="47" t="n">
        <x:v>7</x:v>
      </x:c>
      <x:c r="I61" s="35" t="n">
        <x:v>3598</x:v>
      </x:c>
      <x:c r="J61" s="41" t="n">
        <x:v>0.15</x:v>
      </x:c>
      <x:c r="K61" s="35" t="n">
        <x:f>ROUND(H61*I61*(1-J61),0)</x:f>
        <x:v>21408</x:v>
      </x:c>
      <x:c r="L61" s="35" t="n">
        <x:f>ROUND(K61*IF(F61="Electronics",18%,IF(F61="Office Supplies",22%,IF(F61="Furniture",15%,25%))),0)</x:f>
        <x:v>3211</x:v>
      </x:c>
      <x:c r="M61" s="14" t="str">
        <x:v>Net Banking</x:v>
      </x:c>
      <x:c r="N61" s="15" t="str">
        <x:v>Home Office</x:v>
      </x:c>
    </x:row>
    <x:row r="62">
      <x:c r="A62" s="13" t="str">
        <x:v>ORD-0061</x:v>
      </x:c>
      <x:c r="B62" s="29" t="n">
        <x:v>45812</x:v>
      </x:c>
      <x:c r="C62" s="14" t="str">
        <x:f>TEXT(B62,"mmm-yyyy")</x:f>
        <x:v>Jun-2025</x:v>
      </x:c>
      <x:c r="D62" s="14" t="str">
        <x:v>Delhi</x:v>
      </x:c>
      <x:c r="E62" s="14" t="str">
        <x:v>North</x:v>
      </x:c>
      <x:c r="F62" s="14" t="str">
        <x:v>Furniture</x:v>
      </x:c>
      <x:c r="G62" s="14" t="str">
        <x:v>Office Chair</x:v>
      </x:c>
      <x:c r="H62" s="47" t="n">
        <x:v>5</x:v>
      </x:c>
      <x:c r="I62" s="35" t="n">
        <x:v>4842</x:v>
      </x:c>
      <x:c r="J62" s="41" t="n">
        <x:v>0</x:v>
      </x:c>
      <x:c r="K62" s="35" t="n">
        <x:f>ROUND(H62*I62*(1-J62),0)</x:f>
        <x:v>24210</x:v>
      </x:c>
      <x:c r="L62" s="35" t="n">
        <x:f>ROUND(K62*IF(F62="Electronics",18%,IF(F62="Office Supplies",22%,IF(F62="Furniture",15%,25%))),0)</x:f>
        <x:v>3632</x:v>
      </x:c>
      <x:c r="M62" s="14" t="str">
        <x:v>Net Banking</x:v>
      </x:c>
      <x:c r="N62" s="15" t="str">
        <x:v>Home Office</x:v>
      </x:c>
    </x:row>
    <x:row r="63">
      <x:c r="A63" s="13" t="str">
        <x:v>ORD-0062</x:v>
      </x:c>
      <x:c r="B63" s="29" t="n">
        <x:v>45993</x:v>
      </x:c>
      <x:c r="C63" s="14" t="str">
        <x:f>TEXT(B63,"mmm-yyyy")</x:f>
        <x:v>Dec-2025</x:v>
      </x:c>
      <x:c r="D63" s="14" t="str">
        <x:v>Chennai</x:v>
      </x:c>
      <x:c r="E63" s="14" t="str">
        <x:v>South</x:v>
      </x:c>
      <x:c r="F63" s="14" t="str">
        <x:v>Office Supplies</x:v>
      </x:c>
      <x:c r="G63" s="14" t="str">
        <x:v>Printer Paper</x:v>
      </x:c>
      <x:c r="H63" s="47" t="n">
        <x:v>2</x:v>
      </x:c>
      <x:c r="I63" s="35" t="n">
        <x:v>410</x:v>
      </x:c>
      <x:c r="J63" s="41" t="n">
        <x:v>0.05</x:v>
      </x:c>
      <x:c r="K63" s="35" t="n">
        <x:f>ROUND(H63*I63*(1-J63),0)</x:f>
        <x:v>779</x:v>
      </x:c>
      <x:c r="L63" s="35" t="n">
        <x:f>ROUND(K63*IF(F63="Electronics",18%,IF(F63="Office Supplies",22%,IF(F63="Furniture",15%,25%))),0)</x:f>
        <x:v>171</x:v>
      </x:c>
      <x:c r="M63" s="14" t="str">
        <x:v>Credit Card</x:v>
      </x:c>
      <x:c r="N63" s="15" t="str">
        <x:v>Home Office</x:v>
      </x:c>
    </x:row>
    <x:row r="64">
      <x:c r="A64" s="13" t="str">
        <x:v>ORD-0063</x:v>
      </x:c>
      <x:c r="B64" s="29" t="n">
        <x:v>45701</x:v>
      </x:c>
      <x:c r="C64" s="14" t="str">
        <x:f>TEXT(B64,"mmm-yyyy")</x:f>
        <x:v>Feb-2025</x:v>
      </x:c>
      <x:c r="D64" s="14" t="str">
        <x:v>Bengaluru</x:v>
      </x:c>
      <x:c r="E64" s="14" t="str">
        <x:v>South</x:v>
      </x:c>
      <x:c r="F64" s="14" t="str">
        <x:v>Furniture</x:v>
      </x:c>
      <x:c r="G64" s="14" t="str">
        <x:v>Office Chair</x:v>
      </x:c>
      <x:c r="H64" s="47" t="n">
        <x:v>4</x:v>
      </x:c>
      <x:c r="I64" s="35" t="n">
        <x:v>5094</x:v>
      </x:c>
      <x:c r="J64" s="41" t="n">
        <x:v>0</x:v>
      </x:c>
      <x:c r="K64" s="35" t="n">
        <x:f>ROUND(H64*I64*(1-J64),0)</x:f>
        <x:v>20376</x:v>
      </x:c>
      <x:c r="L64" s="35" t="n">
        <x:f>ROUND(K64*IF(F64="Electronics",18%,IF(F64="Office Supplies",22%,IF(F64="Furniture",15%,25%))),0)</x:f>
        <x:v>3056</x:v>
      </x:c>
      <x:c r="M64" s="14" t="str">
        <x:v>Credit Card</x:v>
      </x:c>
      <x:c r="N64" s="15" t="str">
        <x:v>Home Office</x:v>
      </x:c>
    </x:row>
    <x:row r="65">
      <x:c r="A65" s="13" t="str">
        <x:v>ORD-0064</x:v>
      </x:c>
      <x:c r="B65" s="29" t="n">
        <x:v>45816</x:v>
      </x:c>
      <x:c r="C65" s="14" t="str">
        <x:f>TEXT(B65,"mmm-yyyy")</x:f>
        <x:v>Jun-2025</x:v>
      </x:c>
      <x:c r="D65" s="14" t="str">
        <x:v>Hyderabad</x:v>
      </x:c>
      <x:c r="E65" s="14" t="str">
        <x:v>South</x:v>
      </x:c>
      <x:c r="F65" s="14" t="str">
        <x:v>Accessories</x:v>
      </x:c>
      <x:c r="G65" s="14" t="str">
        <x:v>Water Bottle</x:v>
      </x:c>
      <x:c r="H65" s="47" t="n">
        <x:v>1</x:v>
      </x:c>
      <x:c r="I65" s="35" t="n">
        <x:v>322</x:v>
      </x:c>
      <x:c r="J65" s="41" t="n">
        <x:v>0</x:v>
      </x:c>
      <x:c r="K65" s="35" t="n">
        <x:f>ROUND(H65*I65*(1-J65),0)</x:f>
        <x:v>322</x:v>
      </x:c>
      <x:c r="L65" s="35" t="n">
        <x:f>ROUND(K65*IF(F65="Electronics",18%,IF(F65="Office Supplies",22%,IF(F65="Furniture",15%,25%))),0)</x:f>
        <x:v>81</x:v>
      </x:c>
      <x:c r="M65" s="14" t="str">
        <x:v>Cash</x:v>
      </x:c>
      <x:c r="N65" s="15" t="str">
        <x:v>Home Office</x:v>
      </x:c>
    </x:row>
    <x:row r="66">
      <x:c r="A66" s="13" t="str">
        <x:v>ORD-0065</x:v>
      </x:c>
      <x:c r="B66" s="29" t="n">
        <x:v>45695</x:v>
      </x:c>
      <x:c r="C66" s="14" t="str">
        <x:f>TEXT(B66,"mmm-yyyy")</x:f>
        <x:v>Feb-2025</x:v>
      </x:c>
      <x:c r="D66" s="14" t="str">
        <x:v>Jaipur</x:v>
      </x:c>
      <x:c r="E66" s="14" t="str">
        <x:v>North</x:v>
      </x:c>
      <x:c r="F66" s="14" t="str">
        <x:v>Office Supplies</x:v>
      </x:c>
      <x:c r="G66" s="14" t="str">
        <x:v>Ball Pen Set</x:v>
      </x:c>
      <x:c r="H66" s="47" t="n">
        <x:v>6</x:v>
      </x:c>
      <x:c r="I66" s="35" t="n">
        <x:v>201</x:v>
      </x:c>
      <x:c r="J66" s="41" t="n">
        <x:v>0.1</x:v>
      </x:c>
      <x:c r="K66" s="35" t="n">
        <x:f>ROUND(H66*I66*(1-J66),0)</x:f>
        <x:v>1085</x:v>
      </x:c>
      <x:c r="L66" s="35" t="n">
        <x:f>ROUND(K66*IF(F66="Electronics",18%,IF(F66="Office Supplies",22%,IF(F66="Furniture",15%,25%))),0)</x:f>
        <x:v>239</x:v>
      </x:c>
      <x:c r="M66" s="14" t="str">
        <x:v>Cash</x:v>
      </x:c>
      <x:c r="N66" s="15" t="str">
        <x:v>Corporate</x:v>
      </x:c>
    </x:row>
    <x:row r="67">
      <x:c r="A67" s="13" t="str">
        <x:v>ORD-0066</x:v>
      </x:c>
      <x:c r="B67" s="29" t="n">
        <x:v>45862</x:v>
      </x:c>
      <x:c r="C67" s="14" t="str">
        <x:f>TEXT(B67,"mmm-yyyy")</x:f>
        <x:v>Jul-2025</x:v>
      </x:c>
      <x:c r="D67" s="14" t="str">
        <x:v>Hyderabad</x:v>
      </x:c>
      <x:c r="E67" s="14" t="str">
        <x:v>South</x:v>
      </x:c>
      <x:c r="F67" s="14" t="str">
        <x:v>Electronics</x:v>
      </x:c>
      <x:c r="G67" s="14" t="str">
        <x:v>Bluetooth Speaker</x:v>
      </x:c>
      <x:c r="H67" s="47" t="n">
        <x:v>4</x:v>
      </x:c>
      <x:c r="I67" s="35" t="n">
        <x:v>1380</x:v>
      </x:c>
      <x:c r="J67" s="41" t="n">
        <x:v>0.1</x:v>
      </x:c>
      <x:c r="K67" s="35" t="n">
        <x:f>ROUND(H67*I67*(1-J67),0)</x:f>
        <x:v>4968</x:v>
      </x:c>
      <x:c r="L67" s="35" t="n">
        <x:f>ROUND(K67*IF(F67="Electronics",18%,IF(F67="Office Supplies",22%,IF(F67="Furniture",15%,25%))),0)</x:f>
        <x:v>894</x:v>
      </x:c>
      <x:c r="M67" s="14" t="str">
        <x:v>UPI</x:v>
      </x:c>
      <x:c r="N67" s="15" t="str">
        <x:v>Corporate</x:v>
      </x:c>
    </x:row>
    <x:row r="68">
      <x:c r="A68" s="13" t="str">
        <x:v>ORD-0067</x:v>
      </x:c>
      <x:c r="B68" s="29" t="n">
        <x:v>45770</x:v>
      </x:c>
      <x:c r="C68" s="14" t="str">
        <x:f>TEXT(B68,"mmm-yyyy")</x:f>
        <x:v>Apr-2025</x:v>
      </x:c>
      <x:c r="D68" s="14" t="str">
        <x:v>Mumbai</x:v>
      </x:c>
      <x:c r="E68" s="14" t="str">
        <x:v>West</x:v>
      </x:c>
      <x:c r="F68" s="14" t="str">
        <x:v>Accessories</x:v>
      </x:c>
      <x:c r="G68" s="14" t="str">
        <x:v>Water Bottle</x:v>
      </x:c>
      <x:c r="H68" s="47" t="n">
        <x:v>7</x:v>
      </x:c>
      <x:c r="I68" s="35" t="n">
        <x:v>350</x:v>
      </x:c>
      <x:c r="J68" s="41" t="n">
        <x:v>0</x:v>
      </x:c>
      <x:c r="K68" s="35" t="n">
        <x:f>ROUND(H68*I68*(1-J68),0)</x:f>
        <x:v>2450</x:v>
      </x:c>
      <x:c r="L68" s="35" t="n">
        <x:f>ROUND(K68*IF(F68="Electronics",18%,IF(F68="Office Supplies",22%,IF(F68="Furniture",15%,25%))),0)</x:f>
        <x:v>613</x:v>
      </x:c>
      <x:c r="M68" s="14" t="str">
        <x:v>Credit Card</x:v>
      </x:c>
      <x:c r="N68" s="15" t="str">
        <x:v>Consumer</x:v>
      </x:c>
    </x:row>
    <x:row r="69">
      <x:c r="A69" s="13" t="str">
        <x:v>ORD-0068</x:v>
      </x:c>
      <x:c r="B69" s="29" t="n">
        <x:v>45891</x:v>
      </x:c>
      <x:c r="C69" s="14" t="str">
        <x:f>TEXT(B69,"mmm-yyyy")</x:f>
        <x:v>Aug-2025</x:v>
      </x:c>
      <x:c r="D69" s="14" t="str">
        <x:v>Mumbai</x:v>
      </x:c>
      <x:c r="E69" s="14" t="str">
        <x:v>West</x:v>
      </x:c>
      <x:c r="F69" s="14" t="str">
        <x:v>Accessories</x:v>
      </x:c>
      <x:c r="G69" s="14" t="str">
        <x:v>Water Bottle</x:v>
      </x:c>
      <x:c r="H69" s="47" t="n">
        <x:v>3</x:v>
      </x:c>
      <x:c r="I69" s="35" t="n">
        <x:v>351</x:v>
      </x:c>
      <x:c r="J69" s="41" t="n">
        <x:v>0.05</x:v>
      </x:c>
      <x:c r="K69" s="35" t="n">
        <x:f>ROUND(H69*I69*(1-J69),0)</x:f>
        <x:v>1000</x:v>
      </x:c>
      <x:c r="L69" s="35" t="n">
        <x:f>ROUND(K69*IF(F69="Electronics",18%,IF(F69="Office Supplies",22%,IF(F69="Furniture",15%,25%))),0)</x:f>
        <x:v>250</x:v>
      </x:c>
      <x:c r="M69" s="14" t="str">
        <x:v>Debit Card</x:v>
      </x:c>
      <x:c r="N69" s="15" t="str">
        <x:v>Corporate</x:v>
      </x:c>
    </x:row>
    <x:row r="70">
      <x:c r="A70" s="13" t="str">
        <x:v>ORD-0069</x:v>
      </x:c>
      <x:c r="B70" s="29" t="n">
        <x:v>45971</x:v>
      </x:c>
      <x:c r="C70" s="14" t="str">
        <x:f>TEXT(B70,"mmm-yyyy")</x:f>
        <x:v>Nov-2025</x:v>
      </x:c>
      <x:c r="D70" s="14" t="str">
        <x:v>Kolkata</x:v>
      </x:c>
      <x:c r="E70" s="14" t="str">
        <x:v>East</x:v>
      </x:c>
      <x:c r="F70" s="14" t="str">
        <x:v>Office Supplies</x:v>
      </x:c>
      <x:c r="G70" s="14" t="str">
        <x:v>Ball Pen Set</x:v>
      </x:c>
      <x:c r="H70" s="47" t="n">
        <x:v>5</x:v>
      </x:c>
      <x:c r="I70" s="35" t="n">
        <x:v>201</x:v>
      </x:c>
      <x:c r="J70" s="41" t="n">
        <x:v>0.15</x:v>
      </x:c>
      <x:c r="K70" s="35" t="n">
        <x:f>ROUND(H70*I70*(1-J70),0)</x:f>
        <x:v>854</x:v>
      </x:c>
      <x:c r="L70" s="35" t="n">
        <x:f>ROUND(K70*IF(F70="Electronics",18%,IF(F70="Office Supplies",22%,IF(F70="Furniture",15%,25%))),0)</x:f>
        <x:v>188</x:v>
      </x:c>
      <x:c r="M70" s="14" t="str">
        <x:v>Cash</x:v>
      </x:c>
      <x:c r="N70" s="15" t="str">
        <x:v>Corporate</x:v>
      </x:c>
    </x:row>
    <x:row r="71">
      <x:c r="A71" s="13" t="str">
        <x:v>ORD-0070</x:v>
      </x:c>
      <x:c r="B71" s="29" t="n">
        <x:v>45790</x:v>
      </x:c>
      <x:c r="C71" s="14" t="str">
        <x:f>TEXT(B71,"mmm-yyyy")</x:f>
        <x:v>May-2025</x:v>
      </x:c>
      <x:c r="D71" s="14" t="str">
        <x:v>Hyderabad</x:v>
      </x:c>
      <x:c r="E71" s="14" t="str">
        <x:v>South</x:v>
      </x:c>
      <x:c r="F71" s="14" t="str">
        <x:v>Accessories</x:v>
      </x:c>
      <x:c r="G71" s="14" t="str">
        <x:v>Laptop Sleeve</x:v>
      </x:c>
      <x:c r="H71" s="47" t="n">
        <x:v>3</x:v>
      </x:c>
      <x:c r="I71" s="35" t="n">
        <x:v>729</x:v>
      </x:c>
      <x:c r="J71" s="41" t="n">
        <x:v>0.05</x:v>
      </x:c>
      <x:c r="K71" s="35" t="n">
        <x:f>ROUND(H71*I71*(1-J71),0)</x:f>
        <x:v>2078</x:v>
      </x:c>
      <x:c r="L71" s="35" t="n">
        <x:f>ROUND(K71*IF(F71="Electronics",18%,IF(F71="Office Supplies",22%,IF(F71="Furniture",15%,25%))),0)</x:f>
        <x:v>520</x:v>
      </x:c>
      <x:c r="M71" s="14" t="str">
        <x:v>Credit Card</x:v>
      </x:c>
      <x:c r="N71" s="15" t="str">
        <x:v>Corporate</x:v>
      </x:c>
    </x:row>
    <x:row r="72">
      <x:c r="A72" s="13" t="str">
        <x:v>ORD-0071</x:v>
      </x:c>
      <x:c r="B72" s="29" t="n">
        <x:v>45883</x:v>
      </x:c>
      <x:c r="C72" s="14" t="str">
        <x:f>TEXT(B72,"mmm-yyyy")</x:f>
        <x:v>Aug-2025</x:v>
      </x:c>
      <x:c r="D72" s="14" t="str">
        <x:v>Pune</x:v>
      </x:c>
      <x:c r="E72" s="14" t="str">
        <x:v>West</x:v>
      </x:c>
      <x:c r="F72" s="14" t="str">
        <x:v>Accessories</x:v>
      </x:c>
      <x:c r="G72" s="14" t="str">
        <x:v>Backpack</x:v>
      </x:c>
      <x:c r="H72" s="47" t="n">
        <x:v>2</x:v>
      </x:c>
      <x:c r="I72" s="35" t="n">
        <x:v>1155</x:v>
      </x:c>
      <x:c r="J72" s="41" t="n">
        <x:v>0</x:v>
      </x:c>
      <x:c r="K72" s="35" t="n">
        <x:f>ROUND(H72*I72*(1-J72),0)</x:f>
        <x:v>2310</x:v>
      </x:c>
      <x:c r="L72" s="35" t="n">
        <x:f>ROUND(K72*IF(F72="Electronics",18%,IF(F72="Office Supplies",22%,IF(F72="Furniture",15%,25%))),0)</x:f>
        <x:v>578</x:v>
      </x:c>
      <x:c r="M72" s="14" t="str">
        <x:v>Net Banking</x:v>
      </x:c>
      <x:c r="N72" s="15" t="str">
        <x:v>Consumer</x:v>
      </x:c>
    </x:row>
    <x:row r="73">
      <x:c r="A73" s="13" t="str">
        <x:v>ORD-0072</x:v>
      </x:c>
      <x:c r="B73" s="29" t="n">
        <x:v>45728</x:v>
      </x:c>
      <x:c r="C73" s="14" t="str">
        <x:f>TEXT(B73,"mmm-yyyy")</x:f>
        <x:v>Mar-2025</x:v>
      </x:c>
      <x:c r="D73" s="14" t="str">
        <x:v>Mumbai</x:v>
      </x:c>
      <x:c r="E73" s="14" t="str">
        <x:v>West</x:v>
      </x:c>
      <x:c r="F73" s="14" t="str">
        <x:v>Electronics</x:v>
      </x:c>
      <x:c r="G73" s="14" t="str">
        <x:v>USB-C Cable</x:v>
      </x:c>
      <x:c r="H73" s="47" t="n">
        <x:v>2</x:v>
      </x:c>
      <x:c r="I73" s="35" t="n">
        <x:v>282</x:v>
      </x:c>
      <x:c r="J73" s="41" t="n">
        <x:v>0</x:v>
      </x:c>
      <x:c r="K73" s="35" t="n">
        <x:f>ROUND(H73*I73*(1-J73),0)</x:f>
        <x:v>564</x:v>
      </x:c>
      <x:c r="L73" s="35" t="n">
        <x:f>ROUND(K73*IF(F73="Electronics",18%,IF(F73="Office Supplies",22%,IF(F73="Furniture",15%,25%))),0)</x:f>
        <x:v>102</x:v>
      </x:c>
      <x:c r="M73" s="14" t="str">
        <x:v>Cash</x:v>
      </x:c>
      <x:c r="N73" s="15" t="str">
        <x:v>Corporate</x:v>
      </x:c>
    </x:row>
    <x:row r="74">
      <x:c r="A74" s="13" t="str">
        <x:v>ORD-0073</x:v>
      </x:c>
      <x:c r="B74" s="29" t="n">
        <x:v>45827</x:v>
      </x:c>
      <x:c r="C74" s="14" t="str">
        <x:f>TEXT(B74,"mmm-yyyy")</x:f>
        <x:v>Jun-2025</x:v>
      </x:c>
      <x:c r="D74" s="14" t="str">
        <x:v>Kolkata</x:v>
      </x:c>
      <x:c r="E74" s="14" t="str">
        <x:v>East</x:v>
      </x:c>
      <x:c r="F74" s="14" t="str">
        <x:v>Office Supplies</x:v>
      </x:c>
      <x:c r="G74" s="14" t="str">
        <x:v>Printer Paper</x:v>
      </x:c>
      <x:c r="H74" s="47" t="n">
        <x:v>2</x:v>
      </x:c>
      <x:c r="I74" s="35" t="n">
        <x:v>380</x:v>
      </x:c>
      <x:c r="J74" s="41" t="n">
        <x:v>0.05</x:v>
      </x:c>
      <x:c r="K74" s="35" t="n">
        <x:f>ROUND(H74*I74*(1-J74),0)</x:f>
        <x:v>722</x:v>
      </x:c>
      <x:c r="L74" s="35" t="n">
        <x:f>ROUND(K74*IF(F74="Electronics",18%,IF(F74="Office Supplies",22%,IF(F74="Furniture",15%,25%))),0)</x:f>
        <x:v>159</x:v>
      </x:c>
      <x:c r="M74" s="14" t="str">
        <x:v>Net Banking</x:v>
      </x:c>
      <x:c r="N74" s="15" t="str">
        <x:v>Home Office</x:v>
      </x:c>
    </x:row>
    <x:row r="75">
      <x:c r="A75" s="13" t="str">
        <x:v>ORD-0074</x:v>
      </x:c>
      <x:c r="B75" s="29" t="n">
        <x:v>45668</x:v>
      </x:c>
      <x:c r="C75" s="14" t="str">
        <x:f>TEXT(B75,"mmm-yyyy")</x:f>
        <x:v>Jan-2025</x:v>
      </x:c>
      <x:c r="D75" s="14" t="str">
        <x:v>Bhopal</x:v>
      </x:c>
      <x:c r="E75" s="14" t="str">
        <x:v>Central</x:v>
      </x:c>
      <x:c r="F75" s="14" t="str">
        <x:v>Office Supplies</x:v>
      </x:c>
      <x:c r="G75" s="14" t="str">
        <x:v>Ball Pen Set</x:v>
      </x:c>
      <x:c r="H75" s="47" t="n">
        <x:v>3</x:v>
      </x:c>
      <x:c r="I75" s="35" t="n">
        <x:v>213</x:v>
      </x:c>
      <x:c r="J75" s="41" t="n">
        <x:v>0</x:v>
      </x:c>
      <x:c r="K75" s="35" t="n">
        <x:f>ROUND(H75*I75*(1-J75),0)</x:f>
        <x:v>639</x:v>
      </x:c>
      <x:c r="L75" s="35" t="n">
        <x:f>ROUND(K75*IF(F75="Electronics",18%,IF(F75="Office Supplies",22%,IF(F75="Furniture",15%,25%))),0)</x:f>
        <x:v>141</x:v>
      </x:c>
      <x:c r="M75" s="14" t="str">
        <x:v>Cash</x:v>
      </x:c>
      <x:c r="N75" s="15" t="str">
        <x:v>Corporate</x:v>
      </x:c>
    </x:row>
    <x:row r="76">
      <x:c r="A76" s="13" t="str">
        <x:v>ORD-0075</x:v>
      </x:c>
      <x:c r="B76" s="29" t="n">
        <x:v>45933</x:v>
      </x:c>
      <x:c r="C76" s="14" t="str">
        <x:f>TEXT(B76,"mmm-yyyy")</x:f>
        <x:v>Oct-2025</x:v>
      </x:c>
      <x:c r="D76" s="14" t="str">
        <x:v>Kolkata</x:v>
      </x:c>
      <x:c r="E76" s="14" t="str">
        <x:v>East</x:v>
      </x:c>
      <x:c r="F76" s="14" t="str">
        <x:v>Accessories</x:v>
      </x:c>
      <x:c r="G76" s="14" t="str">
        <x:v>Water Bottle</x:v>
      </x:c>
      <x:c r="H76" s="47" t="n">
        <x:v>3</x:v>
      </x:c>
      <x:c r="I76" s="35" t="n">
        <x:v>333</x:v>
      </x:c>
      <x:c r="J76" s="41" t="n">
        <x:v>0</x:v>
      </x:c>
      <x:c r="K76" s="35" t="n">
        <x:f>ROUND(H76*I76*(1-J76),0)</x:f>
        <x:v>999</x:v>
      </x:c>
      <x:c r="L76" s="35" t="n">
        <x:f>ROUND(K76*IF(F76="Electronics",18%,IF(F76="Office Supplies",22%,IF(F76="Furniture",15%,25%))),0)</x:f>
        <x:v>250</x:v>
      </x:c>
      <x:c r="M76" s="14" t="str">
        <x:v>Cash</x:v>
      </x:c>
      <x:c r="N76" s="15" t="str">
        <x:v>Corporate</x:v>
      </x:c>
    </x:row>
    <x:row r="77">
      <x:c r="A77" s="13" t="str">
        <x:v>ORD-0076</x:v>
      </x:c>
      <x:c r="B77" s="29" t="n">
        <x:v>45672</x:v>
      </x:c>
      <x:c r="C77" s="14" t="str">
        <x:f>TEXT(B77,"mmm-yyyy")</x:f>
        <x:v>Jan-2025</x:v>
      </x:c>
      <x:c r="D77" s="14" t="str">
        <x:v>Delhi</x:v>
      </x:c>
      <x:c r="E77" s="14" t="str">
        <x:v>North</x:v>
      </x:c>
      <x:c r="F77" s="14" t="str">
        <x:v>Office Supplies</x:v>
      </x:c>
      <x:c r="G77" s="14" t="str">
        <x:v>Desk Organizer</x:v>
      </x:c>
      <x:c r="H77" s="47" t="n">
        <x:v>4</x:v>
      </x:c>
      <x:c r="I77" s="35" t="n">
        <x:v>732</x:v>
      </x:c>
      <x:c r="J77" s="41" t="n">
        <x:v>0.1</x:v>
      </x:c>
      <x:c r="K77" s="35" t="n">
        <x:f>ROUND(H77*I77*(1-J77),0)</x:f>
        <x:v>2635</x:v>
      </x:c>
      <x:c r="L77" s="35" t="n">
        <x:f>ROUND(K77*IF(F77="Electronics",18%,IF(F77="Office Supplies",22%,IF(F77="Furniture",15%,25%))),0)</x:f>
        <x:v>580</x:v>
      </x:c>
      <x:c r="M77" s="14" t="str">
        <x:v>Cash</x:v>
      </x:c>
      <x:c r="N77" s="15" t="str">
        <x:v>Consumer</x:v>
      </x:c>
    </x:row>
    <x:row r="78">
      <x:c r="A78" s="13" t="str">
        <x:v>ORD-0077</x:v>
      </x:c>
      <x:c r="B78" s="29" t="n">
        <x:v>45976</x:v>
      </x:c>
      <x:c r="C78" s="14" t="str">
        <x:f>TEXT(B78,"mmm-yyyy")</x:f>
        <x:v>Nov-2025</x:v>
      </x:c>
      <x:c r="D78" s="14" t="str">
        <x:v>Kolkata</x:v>
      </x:c>
      <x:c r="E78" s="14" t="str">
        <x:v>East</x:v>
      </x:c>
      <x:c r="F78" s="14" t="str">
        <x:v>Electronics</x:v>
      </x:c>
      <x:c r="G78" s="14" t="str">
        <x:v>Laptop Stand</x:v>
      </x:c>
      <x:c r="H78" s="47" t="n">
        <x:v>6</x:v>
      </x:c>
      <x:c r="I78" s="35" t="n">
        <x:v>1318</x:v>
      </x:c>
      <x:c r="J78" s="41" t="n">
        <x:v>0.1</x:v>
      </x:c>
      <x:c r="K78" s="35" t="n">
        <x:f>ROUND(H78*I78*(1-J78),0)</x:f>
        <x:v>7117</x:v>
      </x:c>
      <x:c r="L78" s="35" t="n">
        <x:f>ROUND(K78*IF(F78="Electronics",18%,IF(F78="Office Supplies",22%,IF(F78="Furniture",15%,25%))),0)</x:f>
        <x:v>1281</x:v>
      </x:c>
      <x:c r="M78" s="14" t="str">
        <x:v>UPI</x:v>
      </x:c>
      <x:c r="N78" s="15" t="str">
        <x:v>Home Office</x:v>
      </x:c>
    </x:row>
    <x:row r="79">
      <x:c r="A79" s="13" t="str">
        <x:v>ORD-0078</x:v>
      </x:c>
      <x:c r="B79" s="29" t="n">
        <x:v>45877</x:v>
      </x:c>
      <x:c r="C79" s="14" t="str">
        <x:f>TEXT(B79,"mmm-yyyy")</x:f>
        <x:v>Aug-2025</x:v>
      </x:c>
      <x:c r="D79" s="14" t="str">
        <x:v>Mumbai</x:v>
      </x:c>
      <x:c r="E79" s="14" t="str">
        <x:v>West</x:v>
      </x:c>
      <x:c r="F79" s="14" t="str">
        <x:v>Accessories</x:v>
      </x:c>
      <x:c r="G79" s="14" t="str">
        <x:v>Laptop Sleeve</x:v>
      </x:c>
      <x:c r="H79" s="47" t="n">
        <x:v>3</x:v>
      </x:c>
      <x:c r="I79" s="35" t="n">
        <x:v>649</x:v>
      </x:c>
      <x:c r="J79" s="41" t="n">
        <x:v>0</x:v>
      </x:c>
      <x:c r="K79" s="35" t="n">
        <x:f>ROUND(H79*I79*(1-J79),0)</x:f>
        <x:v>1947</x:v>
      </x:c>
      <x:c r="L79" s="35" t="n">
        <x:f>ROUND(K79*IF(F79="Electronics",18%,IF(F79="Office Supplies",22%,IF(F79="Furniture",15%,25%))),0)</x:f>
        <x:v>487</x:v>
      </x:c>
      <x:c r="M79" s="14" t="str">
        <x:v>Credit Card</x:v>
      </x:c>
      <x:c r="N79" s="15" t="str">
        <x:v>Corporate</x:v>
      </x:c>
    </x:row>
    <x:row r="80">
      <x:c r="A80" s="13" t="str">
        <x:v>ORD-0079</x:v>
      </x:c>
      <x:c r="B80" s="29" t="n">
        <x:v>45825</x:v>
      </x:c>
      <x:c r="C80" s="14" t="str">
        <x:f>TEXT(B80,"mmm-yyyy")</x:f>
        <x:v>Jun-2025</x:v>
      </x:c>
      <x:c r="D80" s="14" t="str">
        <x:v>Chennai</x:v>
      </x:c>
      <x:c r="E80" s="14" t="str">
        <x:v>South</x:v>
      </x:c>
      <x:c r="F80" s="14" t="str">
        <x:v>Accessories</x:v>
      </x:c>
      <x:c r="G80" s="14" t="str">
        <x:v>Water Bottle</x:v>
      </x:c>
      <x:c r="H80" s="47" t="n">
        <x:v>6</x:v>
      </x:c>
      <x:c r="I80" s="35" t="n">
        <x:v>337</x:v>
      </x:c>
      <x:c r="J80" s="41" t="n">
        <x:v>0.15</x:v>
      </x:c>
      <x:c r="K80" s="35" t="n">
        <x:f>ROUND(H80*I80*(1-J80),0)</x:f>
        <x:v>1719</x:v>
      </x:c>
      <x:c r="L80" s="35" t="n">
        <x:f>ROUND(K80*IF(F80="Electronics",18%,IF(F80="Office Supplies",22%,IF(F80="Furniture",15%,25%))),0)</x:f>
        <x:v>430</x:v>
      </x:c>
      <x:c r="M80" s="14" t="str">
        <x:v>Cash</x:v>
      </x:c>
      <x:c r="N80" s="15" t="str">
        <x:v>Corporate</x:v>
      </x:c>
    </x:row>
    <x:row r="81">
      <x:c r="A81" s="13" t="str">
        <x:v>ORD-0080</x:v>
      </x:c>
      <x:c r="B81" s="29" t="n">
        <x:v>45699</x:v>
      </x:c>
      <x:c r="C81" s="14" t="str">
        <x:f>TEXT(B81,"mmm-yyyy")</x:f>
        <x:v>Feb-2025</x:v>
      </x:c>
      <x:c r="D81" s="14" t="str">
        <x:v>Jaipur</x:v>
      </x:c>
      <x:c r="E81" s="14" t="str">
        <x:v>North</x:v>
      </x:c>
      <x:c r="F81" s="14" t="str">
        <x:v>Electronics</x:v>
      </x:c>
      <x:c r="G81" s="14" t="str">
        <x:v>Laptop Stand</x:v>
      </x:c>
      <x:c r="H81" s="47" t="n">
        <x:v>4</x:v>
      </x:c>
      <x:c r="I81" s="35" t="n">
        <x:v>1206</x:v>
      </x:c>
      <x:c r="J81" s="41" t="n">
        <x:v>0.15</x:v>
      </x:c>
      <x:c r="K81" s="35" t="n">
        <x:f>ROUND(H81*I81*(1-J81),0)</x:f>
        <x:v>4100</x:v>
      </x:c>
      <x:c r="L81" s="35" t="n">
        <x:f>ROUND(K81*IF(F81="Electronics",18%,IF(F81="Office Supplies",22%,IF(F81="Furniture",15%,25%))),0)</x:f>
        <x:v>738</x:v>
      </x:c>
      <x:c r="M81" s="14" t="str">
        <x:v>Credit Card</x:v>
      </x:c>
      <x:c r="N81" s="15" t="str">
        <x:v>Home Office</x:v>
      </x:c>
    </x:row>
    <x:row r="82">
      <x:c r="A82" s="13" t="str">
        <x:v>ORD-0081</x:v>
      </x:c>
      <x:c r="B82" s="29" t="n">
        <x:v>45693</x:v>
      </x:c>
      <x:c r="C82" s="14" t="str">
        <x:f>TEXT(B82,"mmm-yyyy")</x:f>
        <x:v>Feb-2025</x:v>
      </x:c>
      <x:c r="D82" s="14" t="str">
        <x:v>Nagpur</x:v>
      </x:c>
      <x:c r="E82" s="14" t="str">
        <x:v>West</x:v>
      </x:c>
      <x:c r="F82" s="14" t="str">
        <x:v>Accessories</x:v>
      </x:c>
      <x:c r="G82" s="14" t="str">
        <x:v>Water Bottle</x:v>
      </x:c>
      <x:c r="H82" s="47" t="n">
        <x:v>1</x:v>
      </x:c>
      <x:c r="I82" s="35" t="n">
        <x:v>335</x:v>
      </x:c>
      <x:c r="J82" s="41" t="n">
        <x:v>0.1</x:v>
      </x:c>
      <x:c r="K82" s="35" t="n">
        <x:f>ROUND(H82*I82*(1-J82),0)</x:f>
        <x:v>302</x:v>
      </x:c>
      <x:c r="L82" s="35" t="n">
        <x:f>ROUND(K82*IF(F82="Electronics",18%,IF(F82="Office Supplies",22%,IF(F82="Furniture",15%,25%))),0)</x:f>
        <x:v>76</x:v>
      </x:c>
      <x:c r="M82" s="14" t="str">
        <x:v>Net Banking</x:v>
      </x:c>
      <x:c r="N82" s="15" t="str">
        <x:v>Consumer</x:v>
      </x:c>
    </x:row>
    <x:row r="83">
      <x:c r="A83" s="13" t="str">
        <x:v>ORD-0082</x:v>
      </x:c>
      <x:c r="B83" s="29" t="n">
        <x:v>45780</x:v>
      </x:c>
      <x:c r="C83" s="14" t="str">
        <x:f>TEXT(B83,"mmm-yyyy")</x:f>
        <x:v>May-2025</x:v>
      </x:c>
      <x:c r="D83" s="14" t="str">
        <x:v>Mumbai</x:v>
      </x:c>
      <x:c r="E83" s="14" t="str">
        <x:v>West</x:v>
      </x:c>
      <x:c r="F83" s="14" t="str">
        <x:v>Office Supplies</x:v>
      </x:c>
      <x:c r="G83" s="14" t="str">
        <x:v>Printer Paper</x:v>
      </x:c>
      <x:c r="H83" s="47" t="n">
        <x:v>4</x:v>
      </x:c>
      <x:c r="I83" s="35" t="n">
        <x:v>403</x:v>
      </x:c>
      <x:c r="J83" s="41" t="n">
        <x:v>0</x:v>
      </x:c>
      <x:c r="K83" s="35" t="n">
        <x:f>ROUND(H83*I83*(1-J83),0)</x:f>
        <x:v>1612</x:v>
      </x:c>
      <x:c r="L83" s="35" t="n">
        <x:f>ROUND(K83*IF(F83="Electronics",18%,IF(F83="Office Supplies",22%,IF(F83="Furniture",15%,25%))),0)</x:f>
        <x:v>355</x:v>
      </x:c>
      <x:c r="M83" s="14" t="str">
        <x:v>Debit Card</x:v>
      </x:c>
      <x:c r="N83" s="15" t="str">
        <x:v>Corporate</x:v>
      </x:c>
    </x:row>
    <x:row r="84">
      <x:c r="A84" s="13" t="str">
        <x:v>ORD-0083</x:v>
      </x:c>
      <x:c r="B84" s="29" t="n">
        <x:v>45743</x:v>
      </x:c>
      <x:c r="C84" s="14" t="str">
        <x:f>TEXT(B84,"mmm-yyyy")</x:f>
        <x:v>Mar-2025</x:v>
      </x:c>
      <x:c r="D84" s="14" t="str">
        <x:v>Bhopal</x:v>
      </x:c>
      <x:c r="E84" s="14" t="str">
        <x:v>Central</x:v>
      </x:c>
      <x:c r="F84" s="14" t="str">
        <x:v>Furniture</x:v>
      </x:c>
      <x:c r="G84" s="14" t="str">
        <x:v>Study Table</x:v>
      </x:c>
      <x:c r="H84" s="47" t="n">
        <x:v>7</x:v>
      </x:c>
      <x:c r="I84" s="35" t="n">
        <x:v>7244</x:v>
      </x:c>
      <x:c r="J84" s="41" t="n">
        <x:v>0.1</x:v>
      </x:c>
      <x:c r="K84" s="35" t="n">
        <x:f>ROUND(H84*I84*(1-J84),0)</x:f>
        <x:v>45637</x:v>
      </x:c>
      <x:c r="L84" s="35" t="n">
        <x:f>ROUND(K84*IF(F84="Electronics",18%,IF(F84="Office Supplies",22%,IF(F84="Furniture",15%,25%))),0)</x:f>
        <x:v>6846</x:v>
      </x:c>
      <x:c r="M84" s="14" t="str">
        <x:v>Credit Card</x:v>
      </x:c>
      <x:c r="N84" s="15" t="str">
        <x:v>Corporate</x:v>
      </x:c>
    </x:row>
    <x:row r="85">
      <x:c r="A85" s="13" t="str">
        <x:v>ORD-0084</x:v>
      </x:c>
      <x:c r="B85" s="29" t="n">
        <x:v>45713</x:v>
      </x:c>
      <x:c r="C85" s="14" t="str">
        <x:f>TEXT(B85,"mmm-yyyy")</x:f>
        <x:v>Feb-2025</x:v>
      </x:c>
      <x:c r="D85" s="14" t="str">
        <x:v>Bhopal</x:v>
      </x:c>
      <x:c r="E85" s="14" t="str">
        <x:v>Central</x:v>
      </x:c>
      <x:c r="F85" s="14" t="str">
        <x:v>Electronics</x:v>
      </x:c>
      <x:c r="G85" s="14" t="str">
        <x:v>Laptop Stand</x:v>
      </x:c>
      <x:c r="H85" s="47" t="n">
        <x:v>6</x:v>
      </x:c>
      <x:c r="I85" s="35" t="n">
        <x:v>1315</x:v>
      </x:c>
      <x:c r="J85" s="41" t="n">
        <x:v>0.15</x:v>
      </x:c>
      <x:c r="K85" s="35" t="n">
        <x:f>ROUND(H85*I85*(1-J85),0)</x:f>
        <x:v>6707</x:v>
      </x:c>
      <x:c r="L85" s="35" t="n">
        <x:f>ROUND(K85*IF(F85="Electronics",18%,IF(F85="Office Supplies",22%,IF(F85="Furniture",15%,25%))),0)</x:f>
        <x:v>1207</x:v>
      </x:c>
      <x:c r="M85" s="14" t="str">
        <x:v>Cash</x:v>
      </x:c>
      <x:c r="N85" s="15" t="str">
        <x:v>Corporate</x:v>
      </x:c>
    </x:row>
    <x:row r="86">
      <x:c r="A86" s="13" t="str">
        <x:v>ORD-0085</x:v>
      </x:c>
      <x:c r="B86" s="29" t="n">
        <x:v>45759</x:v>
      </x:c>
      <x:c r="C86" s="14" t="str">
        <x:f>TEXT(B86,"mmm-yyyy")</x:f>
        <x:v>Apr-2025</x:v>
      </x:c>
      <x:c r="D86" s="14" t="str">
        <x:v>Pune</x:v>
      </x:c>
      <x:c r="E86" s="14" t="str">
        <x:v>West</x:v>
      </x:c>
      <x:c r="F86" s="14" t="str">
        <x:v>Furniture</x:v>
      </x:c>
      <x:c r="G86" s="14" t="str">
        <x:v>Study Table</x:v>
      </x:c>
      <x:c r="H86" s="47" t="n">
        <x:v>4</x:v>
      </x:c>
      <x:c r="I86" s="35" t="n">
        <x:v>7141</x:v>
      </x:c>
      <x:c r="J86" s="41" t="n">
        <x:v>0</x:v>
      </x:c>
      <x:c r="K86" s="35" t="n">
        <x:f>ROUND(H86*I86*(1-J86),0)</x:f>
        <x:v>28564</x:v>
      </x:c>
      <x:c r="L86" s="35" t="n">
        <x:f>ROUND(K86*IF(F86="Electronics",18%,IF(F86="Office Supplies",22%,IF(F86="Furniture",15%,25%))),0)</x:f>
        <x:v>4285</x:v>
      </x:c>
      <x:c r="M86" s="14" t="str">
        <x:v>Debit Card</x:v>
      </x:c>
      <x:c r="N86" s="15" t="str">
        <x:v>Home Office</x:v>
      </x:c>
    </x:row>
    <x:row r="87">
      <x:c r="A87" s="13" t="str">
        <x:v>ORD-0086</x:v>
      </x:c>
      <x:c r="B87" s="29" t="n">
        <x:v>45965</x:v>
      </x:c>
      <x:c r="C87" s="14" t="str">
        <x:f>TEXT(B87,"mmm-yyyy")</x:f>
        <x:v>Nov-2025</x:v>
      </x:c>
      <x:c r="D87" s="14" t="str">
        <x:v>Pune</x:v>
      </x:c>
      <x:c r="E87" s="14" t="str">
        <x:v>West</x:v>
      </x:c>
      <x:c r="F87" s="14" t="str">
        <x:v>Accessories</x:v>
      </x:c>
      <x:c r="G87" s="14" t="str">
        <x:v>Water Bottle</x:v>
      </x:c>
      <x:c r="H87" s="47" t="n">
        <x:v>8</x:v>
      </x:c>
      <x:c r="I87" s="35" t="n">
        <x:v>365</x:v>
      </x:c>
      <x:c r="J87" s="41" t="n">
        <x:v>0</x:v>
      </x:c>
      <x:c r="K87" s="35" t="n">
        <x:f>ROUND(H87*I87*(1-J87),0)</x:f>
        <x:v>2920</x:v>
      </x:c>
      <x:c r="L87" s="35" t="n">
        <x:f>ROUND(K87*IF(F87="Electronics",18%,IF(F87="Office Supplies",22%,IF(F87="Furniture",15%,25%))),0)</x:f>
        <x:v>730</x:v>
      </x:c>
      <x:c r="M87" s="14" t="str">
        <x:v>Cash</x:v>
      </x:c>
      <x:c r="N87" s="15" t="str">
        <x:v>Home Office</x:v>
      </x:c>
    </x:row>
    <x:row r="88">
      <x:c r="A88" s="13" t="str">
        <x:v>ORD-0087</x:v>
      </x:c>
      <x:c r="B88" s="29" t="n">
        <x:v>45847</x:v>
      </x:c>
      <x:c r="C88" s="14" t="str">
        <x:f>TEXT(B88,"mmm-yyyy")</x:f>
        <x:v>Jul-2025</x:v>
      </x:c>
      <x:c r="D88" s="14" t="str">
        <x:v>Pune</x:v>
      </x:c>
      <x:c r="E88" s="14" t="str">
        <x:v>West</x:v>
      </x:c>
      <x:c r="F88" s="14" t="str">
        <x:v>Furniture</x:v>
      </x:c>
      <x:c r="G88" s="14" t="str">
        <x:v>Office Chair</x:v>
      </x:c>
      <x:c r="H88" s="47" t="n">
        <x:v>3</x:v>
      </x:c>
      <x:c r="I88" s="35" t="n">
        <x:v>4609</x:v>
      </x:c>
      <x:c r="J88" s="41" t="n">
        <x:v>0.05</x:v>
      </x:c>
      <x:c r="K88" s="35" t="n">
        <x:f>ROUND(H88*I88*(1-J88),0)</x:f>
        <x:v>13136</x:v>
      </x:c>
      <x:c r="L88" s="35" t="n">
        <x:f>ROUND(K88*IF(F88="Electronics",18%,IF(F88="Office Supplies",22%,IF(F88="Furniture",15%,25%))),0)</x:f>
        <x:v>1970</x:v>
      </x:c>
      <x:c r="M88" s="14" t="str">
        <x:v>Cash</x:v>
      </x:c>
      <x:c r="N88" s="15" t="str">
        <x:v>Consumer</x:v>
      </x:c>
    </x:row>
    <x:row r="89">
      <x:c r="A89" s="13" t="str">
        <x:v>ORD-0088</x:v>
      </x:c>
      <x:c r="B89" s="29" t="n">
        <x:v>45879</x:v>
      </x:c>
      <x:c r="C89" s="14" t="str">
        <x:f>TEXT(B89,"mmm-yyyy")</x:f>
        <x:v>Aug-2025</x:v>
      </x:c>
      <x:c r="D89" s="14" t="str">
        <x:v>Chennai</x:v>
      </x:c>
      <x:c r="E89" s="14" t="str">
        <x:v>South</x:v>
      </x:c>
      <x:c r="F89" s="14" t="str">
        <x:v>Furniture</x:v>
      </x:c>
      <x:c r="G89" s="14" t="str">
        <x:v>Bookshelf</x:v>
      </x:c>
      <x:c r="H89" s="47" t="n">
        <x:v>6</x:v>
      </x:c>
      <x:c r="I89" s="35" t="n">
        <x:v>3476</x:v>
      </x:c>
      <x:c r="J89" s="41" t="n">
        <x:v>0</x:v>
      </x:c>
      <x:c r="K89" s="35" t="n">
        <x:f>ROUND(H89*I89*(1-J89),0)</x:f>
        <x:v>20856</x:v>
      </x:c>
      <x:c r="L89" s="35" t="n">
        <x:f>ROUND(K89*IF(F89="Electronics",18%,IF(F89="Office Supplies",22%,IF(F89="Furniture",15%,25%))),0)</x:f>
        <x:v>3128</x:v>
      </x:c>
      <x:c r="M89" s="14" t="str">
        <x:v>Credit Card</x:v>
      </x:c>
      <x:c r="N89" s="15" t="str">
        <x:v>Home Office</x:v>
      </x:c>
    </x:row>
    <x:row r="90">
      <x:c r="A90" s="13" t="str">
        <x:v>ORD-0089</x:v>
      </x:c>
      <x:c r="B90" s="29" t="n">
        <x:v>45925</x:v>
      </x:c>
      <x:c r="C90" s="14" t="str">
        <x:f>TEXT(B90,"mmm-yyyy")</x:f>
        <x:v>Sep-2025</x:v>
      </x:c>
      <x:c r="D90" s="14" t="str">
        <x:v>Bengaluru</x:v>
      </x:c>
      <x:c r="E90" s="14" t="str">
        <x:v>South</x:v>
      </x:c>
      <x:c r="F90" s="14" t="str">
        <x:v>Furniture</x:v>
      </x:c>
      <x:c r="G90" s="14" t="str">
        <x:v>Study Table</x:v>
      </x:c>
      <x:c r="H90" s="47" t="n">
        <x:v>5</x:v>
      </x:c>
      <x:c r="I90" s="35" t="n">
        <x:v>7042</x:v>
      </x:c>
      <x:c r="J90" s="41" t="n">
        <x:v>0.05</x:v>
      </x:c>
      <x:c r="K90" s="35" t="n">
        <x:f>ROUND(H90*I90*(1-J90),0)</x:f>
        <x:v>33450</x:v>
      </x:c>
      <x:c r="L90" s="35" t="n">
        <x:f>ROUND(K90*IF(F90="Electronics",18%,IF(F90="Office Supplies",22%,IF(F90="Furniture",15%,25%))),0)</x:f>
        <x:v>5018</x:v>
      </x:c>
      <x:c r="M90" s="14" t="str">
        <x:v>Cash</x:v>
      </x:c>
      <x:c r="N90" s="15" t="str">
        <x:v>Home Office</x:v>
      </x:c>
    </x:row>
    <x:row r="91">
      <x:c r="A91" s="13" t="str">
        <x:v>ORD-0090</x:v>
      </x:c>
      <x:c r="B91" s="29" t="n">
        <x:v>45961</x:v>
      </x:c>
      <x:c r="C91" s="14" t="str">
        <x:f>TEXT(B91,"mmm-yyyy")</x:f>
        <x:v>Oct-2025</x:v>
      </x:c>
      <x:c r="D91" s="14" t="str">
        <x:v>Bengaluru</x:v>
      </x:c>
      <x:c r="E91" s="14" t="str">
        <x:v>South</x:v>
      </x:c>
      <x:c r="F91" s="14" t="str">
        <x:v>Office Supplies</x:v>
      </x:c>
      <x:c r="G91" s="14" t="str">
        <x:v>Desk Organizer</x:v>
      </x:c>
      <x:c r="H91" s="47" t="n">
        <x:v>5</x:v>
      </x:c>
      <x:c r="I91" s="35" t="n">
        <x:v>736</x:v>
      </x:c>
      <x:c r="J91" s="41" t="n">
        <x:v>0</x:v>
      </x:c>
      <x:c r="K91" s="35" t="n">
        <x:f>ROUND(H91*I91*(1-J91),0)</x:f>
        <x:v>3680</x:v>
      </x:c>
      <x:c r="L91" s="35" t="n">
        <x:f>ROUND(K91*IF(F91="Electronics",18%,IF(F91="Office Supplies",22%,IF(F91="Furniture",15%,25%))),0)</x:f>
        <x:v>810</x:v>
      </x:c>
      <x:c r="M91" s="14" t="str">
        <x:v>Cash</x:v>
      </x:c>
      <x:c r="N91" s="15" t="str">
        <x:v>Consumer</x:v>
      </x:c>
    </x:row>
    <x:row r="92">
      <x:c r="A92" s="13" t="str">
        <x:v>ORD-0091</x:v>
      </x:c>
      <x:c r="B92" s="29" t="n">
        <x:v>45895</x:v>
      </x:c>
      <x:c r="C92" s="14" t="str">
        <x:f>TEXT(B92,"mmm-yyyy")</x:f>
        <x:v>Aug-2025</x:v>
      </x:c>
      <x:c r="D92" s="14" t="str">
        <x:v>Bhopal</x:v>
      </x:c>
      <x:c r="E92" s="14" t="str">
        <x:v>Central</x:v>
      </x:c>
      <x:c r="F92" s="14" t="str">
        <x:v>Furniture</x:v>
      </x:c>
      <x:c r="G92" s="14" t="str">
        <x:v>Study Table</x:v>
      </x:c>
      <x:c r="H92" s="47" t="n">
        <x:v>4</x:v>
      </x:c>
      <x:c r="I92" s="35" t="n">
        <x:v>6816</x:v>
      </x:c>
      <x:c r="J92" s="41" t="n">
        <x:v>0.05</x:v>
      </x:c>
      <x:c r="K92" s="35" t="n">
        <x:f>ROUND(H92*I92*(1-J92),0)</x:f>
        <x:v>25901</x:v>
      </x:c>
      <x:c r="L92" s="35" t="n">
        <x:f>ROUND(K92*IF(F92="Electronics",18%,IF(F92="Office Supplies",22%,IF(F92="Furniture",15%,25%))),0)</x:f>
        <x:v>3885</x:v>
      </x:c>
      <x:c r="M92" s="14" t="str">
        <x:v>Debit Card</x:v>
      </x:c>
      <x:c r="N92" s="15" t="str">
        <x:v>Consumer</x:v>
      </x:c>
    </x:row>
    <x:row r="93">
      <x:c r="A93" s="13" t="str">
        <x:v>ORD-0092</x:v>
      </x:c>
      <x:c r="B93" s="29" t="n">
        <x:v>45907</x:v>
      </x:c>
      <x:c r="C93" s="14" t="str">
        <x:f>TEXT(B93,"mmm-yyyy")</x:f>
        <x:v>Sep-2025</x:v>
      </x:c>
      <x:c r="D93" s="14" t="str">
        <x:v>Hyderabad</x:v>
      </x:c>
      <x:c r="E93" s="14" t="str">
        <x:v>South</x:v>
      </x:c>
      <x:c r="F93" s="14" t="str">
        <x:v>Office Supplies</x:v>
      </x:c>
      <x:c r="G93" s="14" t="str">
        <x:v>Desk Organizer</x:v>
      </x:c>
      <x:c r="H93" s="47" t="n">
        <x:v>5</x:v>
      </x:c>
      <x:c r="I93" s="35" t="n">
        <x:v>681</x:v>
      </x:c>
      <x:c r="J93" s="41" t="n">
        <x:v>0.15</x:v>
      </x:c>
      <x:c r="K93" s="35" t="n">
        <x:f>ROUND(H93*I93*(1-J93),0)</x:f>
        <x:v>2894</x:v>
      </x:c>
      <x:c r="L93" s="35" t="n">
        <x:f>ROUND(K93*IF(F93="Electronics",18%,IF(F93="Office Supplies",22%,IF(F93="Furniture",15%,25%))),0)</x:f>
        <x:v>637</x:v>
      </x:c>
      <x:c r="M93" s="14" t="str">
        <x:v>Debit Card</x:v>
      </x:c>
      <x:c r="N93" s="15" t="str">
        <x:v>Home Office</x:v>
      </x:c>
    </x:row>
    <x:row r="94">
      <x:c r="A94" s="13" t="str">
        <x:v>ORD-0093</x:v>
      </x:c>
      <x:c r="B94" s="29" t="n">
        <x:v>45663</x:v>
      </x:c>
      <x:c r="C94" s="14" t="str">
        <x:f>TEXT(B94,"mmm-yyyy")</x:f>
        <x:v>Jan-2025</x:v>
      </x:c>
      <x:c r="D94" s="14" t="str">
        <x:v>Kolkata</x:v>
      </x:c>
      <x:c r="E94" s="14" t="str">
        <x:v>East</x:v>
      </x:c>
      <x:c r="F94" s="14" t="str">
        <x:v>Electronics</x:v>
      </x:c>
      <x:c r="G94" s="14" t="str">
        <x:v>USB-C Cable</x:v>
      </x:c>
      <x:c r="H94" s="47" t="n">
        <x:v>1</x:v>
      </x:c>
      <x:c r="I94" s="35" t="n">
        <x:v>310</x:v>
      </x:c>
      <x:c r="J94" s="41" t="n">
        <x:v>0.05</x:v>
      </x:c>
      <x:c r="K94" s="35" t="n">
        <x:f>ROUND(H94*I94*(1-J94),0)</x:f>
        <x:v>295</x:v>
      </x:c>
      <x:c r="L94" s="35" t="n">
        <x:f>ROUND(K94*IF(F94="Electronics",18%,IF(F94="Office Supplies",22%,IF(F94="Furniture",15%,25%))),0)</x:f>
        <x:v>53</x:v>
      </x:c>
      <x:c r="M94" s="14" t="str">
        <x:v>Credit Card</x:v>
      </x:c>
      <x:c r="N94" s="15" t="str">
        <x:v>Home Office</x:v>
      </x:c>
    </x:row>
    <x:row r="95">
      <x:c r="A95" s="13" t="str">
        <x:v>ORD-0094</x:v>
      </x:c>
      <x:c r="B95" s="29" t="n">
        <x:v>45901</x:v>
      </x:c>
      <x:c r="C95" s="14" t="str">
        <x:f>TEXT(B95,"mmm-yyyy")</x:f>
        <x:v>Sep-2025</x:v>
      </x:c>
      <x:c r="D95" s="14" t="str">
        <x:v>Jaipur</x:v>
      </x:c>
      <x:c r="E95" s="14" t="str">
        <x:v>North</x:v>
      </x:c>
      <x:c r="F95" s="14" t="str">
        <x:v>Office Supplies</x:v>
      </x:c>
      <x:c r="G95" s="14" t="str">
        <x:v>Printer Paper</x:v>
      </x:c>
      <x:c r="H95" s="47" t="n">
        <x:v>5</x:v>
      </x:c>
      <x:c r="I95" s="35" t="n">
        <x:v>373</x:v>
      </x:c>
      <x:c r="J95" s="41" t="n">
        <x:v>0</x:v>
      </x:c>
      <x:c r="K95" s="35" t="n">
        <x:f>ROUND(H95*I95*(1-J95),0)</x:f>
        <x:v>1865</x:v>
      </x:c>
      <x:c r="L95" s="35" t="n">
        <x:f>ROUND(K95*IF(F95="Electronics",18%,IF(F95="Office Supplies",22%,IF(F95="Furniture",15%,25%))),0)</x:f>
        <x:v>410</x:v>
      </x:c>
      <x:c r="M95" s="14" t="str">
        <x:v>Credit Card</x:v>
      </x:c>
      <x:c r="N95" s="15" t="str">
        <x:v>Corporate</x:v>
      </x:c>
    </x:row>
    <x:row r="96">
      <x:c r="A96" s="13" t="str">
        <x:v>ORD-0095</x:v>
      </x:c>
      <x:c r="B96" s="29" t="n">
        <x:v>45997</x:v>
      </x:c>
      <x:c r="C96" s="14" t="str">
        <x:f>TEXT(B96,"mmm-yyyy")</x:f>
        <x:v>Dec-2025</x:v>
      </x:c>
      <x:c r="D96" s="14" t="str">
        <x:v>Bhopal</x:v>
      </x:c>
      <x:c r="E96" s="14" t="str">
        <x:v>Central</x:v>
      </x:c>
      <x:c r="F96" s="14" t="str">
        <x:v>Office Supplies</x:v>
      </x:c>
      <x:c r="G96" s="14" t="str">
        <x:v>Desk Organizer</x:v>
      </x:c>
      <x:c r="H96" s="47" t="n">
        <x:v>3</x:v>
      </x:c>
      <x:c r="I96" s="35" t="n">
        <x:v>702</x:v>
      </x:c>
      <x:c r="J96" s="41" t="n">
        <x:v>0.05</x:v>
      </x:c>
      <x:c r="K96" s="35" t="n">
        <x:f>ROUND(H96*I96*(1-J96),0)</x:f>
        <x:v>2001</x:v>
      </x:c>
      <x:c r="L96" s="35" t="n">
        <x:f>ROUND(K96*IF(F96="Electronics",18%,IF(F96="Office Supplies",22%,IF(F96="Furniture",15%,25%))),0)</x:f>
        <x:v>440</x:v>
      </x:c>
      <x:c r="M96" s="14" t="str">
        <x:v>Net Banking</x:v>
      </x:c>
      <x:c r="N96" s="15" t="str">
        <x:v>Corporate</x:v>
      </x:c>
    </x:row>
    <x:row r="97">
      <x:c r="A97" s="13" t="str">
        <x:v>ORD-0096</x:v>
      </x:c>
      <x:c r="B97" s="29" t="n">
        <x:v>45838</x:v>
      </x:c>
      <x:c r="C97" s="14" t="str">
        <x:f>TEXT(B97,"mmm-yyyy")</x:f>
        <x:v>Jun-2025</x:v>
      </x:c>
      <x:c r="D97" s="14" t="str">
        <x:v>Jaipur</x:v>
      </x:c>
      <x:c r="E97" s="14" t="str">
        <x:v>North</x:v>
      </x:c>
      <x:c r="F97" s="14" t="str">
        <x:v>Office Supplies</x:v>
      </x:c>
      <x:c r="G97" s="14" t="str">
        <x:v>Notebook Pack</x:v>
      </x:c>
      <x:c r="H97" s="47" t="n">
        <x:v>2</x:v>
      </x:c>
      <x:c r="I97" s="35" t="n">
        <x:v>238</x:v>
      </x:c>
      <x:c r="J97" s="41" t="n">
        <x:v>0.1</x:v>
      </x:c>
      <x:c r="K97" s="35" t="n">
        <x:f>ROUND(H97*I97*(1-J97),0)</x:f>
        <x:v>428</x:v>
      </x:c>
      <x:c r="L97" s="35" t="n">
        <x:f>ROUND(K97*IF(F97="Electronics",18%,IF(F97="Office Supplies",22%,IF(F97="Furniture",15%,25%))),0)</x:f>
        <x:v>94</x:v>
      </x:c>
      <x:c r="M97" s="14" t="str">
        <x:v>Debit Card</x:v>
      </x:c>
      <x:c r="N97" s="15" t="str">
        <x:v>Consumer</x:v>
      </x:c>
    </x:row>
    <x:row r="98">
      <x:c r="A98" s="13" t="str">
        <x:v>ORD-0097</x:v>
      </x:c>
      <x:c r="B98" s="29" t="n">
        <x:v>45932</x:v>
      </x:c>
      <x:c r="C98" s="14" t="str">
        <x:f>TEXT(B98,"mmm-yyyy")</x:f>
        <x:v>Oct-2025</x:v>
      </x:c>
      <x:c r="D98" s="14" t="str">
        <x:v>Mumbai</x:v>
      </x:c>
      <x:c r="E98" s="14" t="str">
        <x:v>West</x:v>
      </x:c>
      <x:c r="F98" s="14" t="str">
        <x:v>Electronics</x:v>
      </x:c>
      <x:c r="G98" s="14" t="str">
        <x:v>USB-C Cable</x:v>
      </x:c>
      <x:c r="H98" s="47" t="n">
        <x:v>1</x:v>
      </x:c>
      <x:c r="I98" s="35" t="n">
        <x:v>298</x:v>
      </x:c>
      <x:c r="J98" s="41" t="n">
        <x:v>0.1</x:v>
      </x:c>
      <x:c r="K98" s="35" t="n">
        <x:f>ROUND(H98*I98*(1-J98),0)</x:f>
        <x:v>268</x:v>
      </x:c>
      <x:c r="L98" s="35" t="n">
        <x:f>ROUND(K98*IF(F98="Electronics",18%,IF(F98="Office Supplies",22%,IF(F98="Furniture",15%,25%))),0)</x:f>
        <x:v>48</x:v>
      </x:c>
      <x:c r="M98" s="14" t="str">
        <x:v>Net Banking</x:v>
      </x:c>
      <x:c r="N98" s="15" t="str">
        <x:v>Home Office</x:v>
      </x:c>
    </x:row>
    <x:row r="99">
      <x:c r="A99" s="13" t="str">
        <x:v>ORD-0098</x:v>
      </x:c>
      <x:c r="B99" s="29" t="n">
        <x:v>45802</x:v>
      </x:c>
      <x:c r="C99" s="14" t="str">
        <x:f>TEXT(B99,"mmm-yyyy")</x:f>
        <x:v>May-2025</x:v>
      </x:c>
      <x:c r="D99" s="14" t="str">
        <x:v>Pune</x:v>
      </x:c>
      <x:c r="E99" s="14" t="str">
        <x:v>West</x:v>
      </x:c>
      <x:c r="F99" s="14" t="str">
        <x:v>Accessories</x:v>
      </x:c>
      <x:c r="G99" s="14" t="str">
        <x:v>Laptop Sleeve</x:v>
      </x:c>
      <x:c r="H99" s="47" t="n">
        <x:v>1</x:v>
      </x:c>
      <x:c r="I99" s="35" t="n">
        <x:v>669</x:v>
      </x:c>
      <x:c r="J99" s="41" t="n">
        <x:v>0</x:v>
      </x:c>
      <x:c r="K99" s="35" t="n">
        <x:f>ROUND(H99*I99*(1-J99),0)</x:f>
        <x:v>669</x:v>
      </x:c>
      <x:c r="L99" s="35" t="n">
        <x:f>ROUND(K99*IF(F99="Electronics",18%,IF(F99="Office Supplies",22%,IF(F99="Furniture",15%,25%))),0)</x:f>
        <x:v>167</x:v>
      </x:c>
      <x:c r="M99" s="14" t="str">
        <x:v>UPI</x:v>
      </x:c>
      <x:c r="N99" s="15" t="str">
        <x:v>Home Office</x:v>
      </x:c>
    </x:row>
    <x:row r="100">
      <x:c r="A100" s="13" t="str">
        <x:v>ORD-0099</x:v>
      </x:c>
      <x:c r="B100" s="29" t="n">
        <x:v>45931</x:v>
      </x:c>
      <x:c r="C100" s="14" t="str">
        <x:f>TEXT(B100,"mmm-yyyy")</x:f>
        <x:v>Oct-2025</x:v>
      </x:c>
      <x:c r="D100" s="14" t="str">
        <x:v>Mumbai</x:v>
      </x:c>
      <x:c r="E100" s="14" t="str">
        <x:v>West</x:v>
      </x:c>
      <x:c r="F100" s="14" t="str">
        <x:v>Office Supplies</x:v>
      </x:c>
      <x:c r="G100" s="14" t="str">
        <x:v>Notebook Pack</x:v>
      </x:c>
      <x:c r="H100" s="47" t="n">
        <x:v>1</x:v>
      </x:c>
      <x:c r="I100" s="35" t="n">
        <x:v>231</x:v>
      </x:c>
      <x:c r="J100" s="41" t="n">
        <x:v>0</x:v>
      </x:c>
      <x:c r="K100" s="35" t="n">
        <x:f>ROUND(H100*I100*(1-J100),0)</x:f>
        <x:v>231</x:v>
      </x:c>
      <x:c r="L100" s="35" t="n">
        <x:f>ROUND(K100*IF(F100="Electronics",18%,IF(F100="Office Supplies",22%,IF(F100="Furniture",15%,25%))),0)</x:f>
        <x:v>51</x:v>
      </x:c>
      <x:c r="M100" s="14" t="str">
        <x:v>Credit Card</x:v>
      </x:c>
      <x:c r="N100" s="15" t="str">
        <x:v>Home Office</x:v>
      </x:c>
    </x:row>
    <x:row r="101">
      <x:c r="A101" s="13" t="str">
        <x:v>ORD-0100</x:v>
      </x:c>
      <x:c r="B101" s="29" t="n">
        <x:v>45909</x:v>
      </x:c>
      <x:c r="C101" s="14" t="str">
        <x:f>TEXT(B101,"mmm-yyyy")</x:f>
        <x:v>Sep-2025</x:v>
      </x:c>
      <x:c r="D101" s="14" t="str">
        <x:v>Pune</x:v>
      </x:c>
      <x:c r="E101" s="14" t="str">
        <x:v>West</x:v>
      </x:c>
      <x:c r="F101" s="14" t="str">
        <x:v>Accessories</x:v>
      </x:c>
      <x:c r="G101" s="14" t="str">
        <x:v>Laptop Sleeve</x:v>
      </x:c>
      <x:c r="H101" s="47" t="n">
        <x:v>1</x:v>
      </x:c>
      <x:c r="I101" s="35" t="n">
        <x:v>675</x:v>
      </x:c>
      <x:c r="J101" s="41" t="n">
        <x:v>0.05</x:v>
      </x:c>
      <x:c r="K101" s="35" t="n">
        <x:f>ROUND(H101*I101*(1-J101),0)</x:f>
        <x:v>641</x:v>
      </x:c>
      <x:c r="L101" s="35" t="n">
        <x:f>ROUND(K101*IF(F101="Electronics",18%,IF(F101="Office Supplies",22%,IF(F101="Furniture",15%,25%))),0)</x:f>
        <x:v>160</x:v>
      </x:c>
      <x:c r="M101" s="14" t="str">
        <x:v>Debit Card</x:v>
      </x:c>
      <x:c r="N101" s="15" t="str">
        <x:v>Consumer</x:v>
      </x:c>
    </x:row>
    <x:row r="102">
      <x:c r="A102" s="13" t="str">
        <x:v>ORD-0101</x:v>
      </x:c>
      <x:c r="B102" s="29" t="n">
        <x:v>45684</x:v>
      </x:c>
      <x:c r="C102" s="14" t="str">
        <x:f>TEXT(B102,"mmm-yyyy")</x:f>
        <x:v>Jan-2025</x:v>
      </x:c>
      <x:c r="D102" s="14" t="str">
        <x:v>Bengaluru</x:v>
      </x:c>
      <x:c r="E102" s="14" t="str">
        <x:v>South</x:v>
      </x:c>
      <x:c r="F102" s="14" t="str">
        <x:v>Accessories</x:v>
      </x:c>
      <x:c r="G102" s="14" t="str">
        <x:v>Laptop Sleeve</x:v>
      </x:c>
      <x:c r="H102" s="47" t="n">
        <x:v>3</x:v>
      </x:c>
      <x:c r="I102" s="35" t="n">
        <x:v>735</x:v>
      </x:c>
      <x:c r="J102" s="41" t="n">
        <x:v>0.05</x:v>
      </x:c>
      <x:c r="K102" s="35" t="n">
        <x:f>ROUND(H102*I102*(1-J102),0)</x:f>
        <x:v>2095</x:v>
      </x:c>
      <x:c r="L102" s="35" t="n">
        <x:f>ROUND(K102*IF(F102="Electronics",18%,IF(F102="Office Supplies",22%,IF(F102="Furniture",15%,25%))),0)</x:f>
        <x:v>524</x:v>
      </x:c>
      <x:c r="M102" s="14" t="str">
        <x:v>UPI</x:v>
      </x:c>
      <x:c r="N102" s="15" t="str">
        <x:v>Home Office</x:v>
      </x:c>
    </x:row>
    <x:row r="103">
      <x:c r="A103" s="13" t="str">
        <x:v>ORD-0102</x:v>
      </x:c>
      <x:c r="B103" s="29" t="n">
        <x:v>45980</x:v>
      </x:c>
      <x:c r="C103" s="14" t="str">
        <x:f>TEXT(B103,"mmm-yyyy")</x:f>
        <x:v>Nov-2025</x:v>
      </x:c>
      <x:c r="D103" s="14" t="str">
        <x:v>Nagpur</x:v>
      </x:c>
      <x:c r="E103" s="14" t="str">
        <x:v>West</x:v>
      </x:c>
      <x:c r="F103" s="14" t="str">
        <x:v>Electronics</x:v>
      </x:c>
      <x:c r="G103" s="14" t="str">
        <x:v>Bluetooth Speaker</x:v>
      </x:c>
      <x:c r="H103" s="47" t="n">
        <x:v>1</x:v>
      </x:c>
      <x:c r="I103" s="35" t="n">
        <x:v>1514</x:v>
      </x:c>
      <x:c r="J103" s="41" t="n">
        <x:v>0</x:v>
      </x:c>
      <x:c r="K103" s="35" t="n">
        <x:f>ROUND(H103*I103*(1-J103),0)</x:f>
        <x:v>1514</x:v>
      </x:c>
      <x:c r="L103" s="35" t="n">
        <x:f>ROUND(K103*IF(F103="Electronics",18%,IF(F103="Office Supplies",22%,IF(F103="Furniture",15%,25%))),0)</x:f>
        <x:v>273</x:v>
      </x:c>
      <x:c r="M103" s="14" t="str">
        <x:v>Credit Card</x:v>
      </x:c>
      <x:c r="N103" s="15" t="str">
        <x:v>Consumer</x:v>
      </x:c>
    </x:row>
    <x:row r="104">
      <x:c r="A104" s="13" t="str">
        <x:v>ORD-0103</x:v>
      </x:c>
      <x:c r="B104" s="29" t="n">
        <x:v>45943</x:v>
      </x:c>
      <x:c r="C104" s="14" t="str">
        <x:f>TEXT(B104,"mmm-yyyy")</x:f>
        <x:v>Oct-2025</x:v>
      </x:c>
      <x:c r="D104" s="14" t="str">
        <x:v>Delhi</x:v>
      </x:c>
      <x:c r="E104" s="14" t="str">
        <x:v>North</x:v>
      </x:c>
      <x:c r="F104" s="14" t="str">
        <x:v>Furniture</x:v>
      </x:c>
      <x:c r="G104" s="14" t="str">
        <x:v>Study Table</x:v>
      </x:c>
      <x:c r="H104" s="47" t="n">
        <x:v>3</x:v>
      </x:c>
      <x:c r="I104" s="35" t="n">
        <x:v>7132</x:v>
      </x:c>
      <x:c r="J104" s="41" t="n">
        <x:v>0.1</x:v>
      </x:c>
      <x:c r="K104" s="35" t="n">
        <x:f>ROUND(H104*I104*(1-J104),0)</x:f>
        <x:v>19256</x:v>
      </x:c>
      <x:c r="L104" s="35" t="n">
        <x:f>ROUND(K104*IF(F104="Electronics",18%,IF(F104="Office Supplies",22%,IF(F104="Furniture",15%,25%))),0)</x:f>
        <x:v>2888</x:v>
      </x:c>
      <x:c r="M104" s="14" t="str">
        <x:v>Cash</x:v>
      </x:c>
      <x:c r="N104" s="15" t="str">
        <x:v>Corporate</x:v>
      </x:c>
    </x:row>
    <x:row r="105">
      <x:c r="A105" s="13" t="str">
        <x:v>ORD-0104</x:v>
      </x:c>
      <x:c r="B105" s="29" t="n">
        <x:v>45884</x:v>
      </x:c>
      <x:c r="C105" s="14" t="str">
        <x:f>TEXT(B105,"mmm-yyyy")</x:f>
        <x:v>Aug-2025</x:v>
      </x:c>
      <x:c r="D105" s="14" t="str">
        <x:v>Bengaluru</x:v>
      </x:c>
      <x:c r="E105" s="14" t="str">
        <x:v>South</x:v>
      </x:c>
      <x:c r="F105" s="14" t="str">
        <x:v>Accessories</x:v>
      </x:c>
      <x:c r="G105" s="14" t="str">
        <x:v>Laptop Sleeve</x:v>
      </x:c>
      <x:c r="H105" s="47" t="n">
        <x:v>3</x:v>
      </x:c>
      <x:c r="I105" s="35" t="n">
        <x:v>691</x:v>
      </x:c>
      <x:c r="J105" s="41" t="n">
        <x:v>0.05</x:v>
      </x:c>
      <x:c r="K105" s="35" t="n">
        <x:f>ROUND(H105*I105*(1-J105),0)</x:f>
        <x:v>1969</x:v>
      </x:c>
      <x:c r="L105" s="35" t="n">
        <x:f>ROUND(K105*IF(F105="Electronics",18%,IF(F105="Office Supplies",22%,IF(F105="Furniture",15%,25%))),0)</x:f>
        <x:v>492</x:v>
      </x:c>
      <x:c r="M105" s="14" t="str">
        <x:v>UPI</x:v>
      </x:c>
      <x:c r="N105" s="15" t="str">
        <x:v>Home Office</x:v>
      </x:c>
    </x:row>
    <x:row r="106">
      <x:c r="A106" s="13" t="str">
        <x:v>ORD-0105</x:v>
      </x:c>
      <x:c r="B106" s="29" t="n">
        <x:v>45708</x:v>
      </x:c>
      <x:c r="C106" s="14" t="str">
        <x:f>TEXT(B106,"mmm-yyyy")</x:f>
        <x:v>Feb-2025</x:v>
      </x:c>
      <x:c r="D106" s="14" t="str">
        <x:v>Hyderabad</x:v>
      </x:c>
      <x:c r="E106" s="14" t="str">
        <x:v>South</x:v>
      </x:c>
      <x:c r="F106" s="14" t="str">
        <x:v>Furniture</x:v>
      </x:c>
      <x:c r="G106" s="14" t="str">
        <x:v>Bookshelf</x:v>
      </x:c>
      <x:c r="H106" s="47" t="n">
        <x:v>1</x:v>
      </x:c>
      <x:c r="I106" s="35" t="n">
        <x:v>3589</x:v>
      </x:c>
      <x:c r="J106" s="41" t="n">
        <x:v>0</x:v>
      </x:c>
      <x:c r="K106" s="35" t="n">
        <x:f>ROUND(H106*I106*(1-J106),0)</x:f>
        <x:v>3589</x:v>
      </x:c>
      <x:c r="L106" s="35" t="n">
        <x:f>ROUND(K106*IF(F106="Electronics",18%,IF(F106="Office Supplies",22%,IF(F106="Furniture",15%,25%))),0)</x:f>
        <x:v>538</x:v>
      </x:c>
      <x:c r="M106" s="14" t="str">
        <x:v>Credit Card</x:v>
      </x:c>
      <x:c r="N106" s="15" t="str">
        <x:v>Home Office</x:v>
      </x:c>
    </x:row>
    <x:row r="107">
      <x:c r="A107" s="13" t="str">
        <x:v>ORD-0106</x:v>
      </x:c>
      <x:c r="B107" s="29" t="n">
        <x:v>45696</x:v>
      </x:c>
      <x:c r="C107" s="14" t="str">
        <x:f>TEXT(B107,"mmm-yyyy")</x:f>
        <x:v>Feb-2025</x:v>
      </x:c>
      <x:c r="D107" s="14" t="str">
        <x:v>Mumbai</x:v>
      </x:c>
      <x:c r="E107" s="14" t="str">
        <x:v>West</x:v>
      </x:c>
      <x:c r="F107" s="14" t="str">
        <x:v>Electronics</x:v>
      </x:c>
      <x:c r="G107" s="14" t="str">
        <x:v>Laptop Stand</x:v>
      </x:c>
      <x:c r="H107" s="47" t="n">
        <x:v>2</x:v>
      </x:c>
      <x:c r="I107" s="35" t="n">
        <x:v>1338</x:v>
      </x:c>
      <x:c r="J107" s="41" t="n">
        <x:v>0.05</x:v>
      </x:c>
      <x:c r="K107" s="35" t="n">
        <x:f>ROUND(H107*I107*(1-J107),0)</x:f>
        <x:v>2542</x:v>
      </x:c>
      <x:c r="L107" s="35" t="n">
        <x:f>ROUND(K107*IF(F107="Electronics",18%,IF(F107="Office Supplies",22%,IF(F107="Furniture",15%,25%))),0)</x:f>
        <x:v>458</x:v>
      </x:c>
      <x:c r="M107" s="14" t="str">
        <x:v>UPI</x:v>
      </x:c>
      <x:c r="N107" s="15" t="str">
        <x:v>Consumer</x:v>
      </x:c>
    </x:row>
    <x:row r="108">
      <x:c r="A108" s="13" t="str">
        <x:v>ORD-0107</x:v>
      </x:c>
      <x:c r="B108" s="29" t="n">
        <x:v>45805</x:v>
      </x:c>
      <x:c r="C108" s="14" t="str">
        <x:f>TEXT(B108,"mmm-yyyy")</x:f>
        <x:v>May-2025</x:v>
      </x:c>
      <x:c r="D108" s="14" t="str">
        <x:v>Bengaluru</x:v>
      </x:c>
      <x:c r="E108" s="14" t="str">
        <x:v>South</x:v>
      </x:c>
      <x:c r="F108" s="14" t="str">
        <x:v>Accessories</x:v>
      </x:c>
      <x:c r="G108" s="14" t="str">
        <x:v>Backpack</x:v>
      </x:c>
      <x:c r="H108" s="47" t="n">
        <x:v>5</x:v>
      </x:c>
      <x:c r="I108" s="35" t="n">
        <x:v>1117</x:v>
      </x:c>
      <x:c r="J108" s="41" t="n">
        <x:v>0</x:v>
      </x:c>
      <x:c r="K108" s="35" t="n">
        <x:f>ROUND(H108*I108*(1-J108),0)</x:f>
        <x:v>5585</x:v>
      </x:c>
      <x:c r="L108" s="35" t="n">
        <x:f>ROUND(K108*IF(F108="Electronics",18%,IF(F108="Office Supplies",22%,IF(F108="Furniture",15%,25%))),0)</x:f>
        <x:v>1396</x:v>
      </x:c>
      <x:c r="M108" s="14" t="str">
        <x:v>Debit Card</x:v>
      </x:c>
      <x:c r="N108" s="15" t="str">
        <x:v>Home Office</x:v>
      </x:c>
    </x:row>
    <x:row r="109">
      <x:c r="A109" s="13" t="str">
        <x:v>ORD-0108</x:v>
      </x:c>
      <x:c r="B109" s="29" t="n">
        <x:v>45959</x:v>
      </x:c>
      <x:c r="C109" s="14" t="str">
        <x:f>TEXT(B109,"mmm-yyyy")</x:f>
        <x:v>Oct-2025</x:v>
      </x:c>
      <x:c r="D109" s="14" t="str">
        <x:v>Hyderabad</x:v>
      </x:c>
      <x:c r="E109" s="14" t="str">
        <x:v>South</x:v>
      </x:c>
      <x:c r="F109" s="14" t="str">
        <x:v>Office Supplies</x:v>
      </x:c>
      <x:c r="G109" s="14" t="str">
        <x:v>Ball Pen Set</x:v>
      </x:c>
      <x:c r="H109" s="47" t="n">
        <x:v>1</x:v>
      </x:c>
      <x:c r="I109" s="35" t="n">
        <x:v>190</x:v>
      </x:c>
      <x:c r="J109" s="41" t="n">
        <x:v>0</x:v>
      </x:c>
      <x:c r="K109" s="35" t="n">
        <x:f>ROUND(H109*I109*(1-J109),0)</x:f>
        <x:v>190</x:v>
      </x:c>
      <x:c r="L109" s="35" t="n">
        <x:f>ROUND(K109*IF(F109="Electronics",18%,IF(F109="Office Supplies",22%,IF(F109="Furniture",15%,25%))),0)</x:f>
        <x:v>42</x:v>
      </x:c>
      <x:c r="M109" s="14" t="str">
        <x:v>Debit Card</x:v>
      </x:c>
      <x:c r="N109" s="15" t="str">
        <x:v>Consumer</x:v>
      </x:c>
    </x:row>
    <x:row r="110">
      <x:c r="A110" s="13" t="str">
        <x:v>ORD-0109</x:v>
      </x:c>
      <x:c r="B110" s="29" t="n">
        <x:v>45694</x:v>
      </x:c>
      <x:c r="C110" s="14" t="str">
        <x:f>TEXT(B110,"mmm-yyyy")</x:f>
        <x:v>Feb-2025</x:v>
      </x:c>
      <x:c r="D110" s="14" t="str">
        <x:v>Nagpur</x:v>
      </x:c>
      <x:c r="E110" s="14" t="str">
        <x:v>West</x:v>
      </x:c>
      <x:c r="F110" s="14" t="str">
        <x:v>Electronics</x:v>
      </x:c>
      <x:c r="G110" s="14" t="str">
        <x:v>Bluetooth Speaker</x:v>
      </x:c>
      <x:c r="H110" s="47" t="n">
        <x:v>5</x:v>
      </x:c>
      <x:c r="I110" s="35" t="n">
        <x:v>1522</x:v>
      </x:c>
      <x:c r="J110" s="41" t="n">
        <x:v>0.1</x:v>
      </x:c>
      <x:c r="K110" s="35" t="n">
        <x:f>ROUND(H110*I110*(1-J110),0)</x:f>
        <x:v>6849</x:v>
      </x:c>
      <x:c r="L110" s="35" t="n">
        <x:f>ROUND(K110*IF(F110="Electronics",18%,IF(F110="Office Supplies",22%,IF(F110="Furniture",15%,25%))),0)</x:f>
        <x:v>1233</x:v>
      </x:c>
      <x:c r="M110" s="14" t="str">
        <x:v>Debit Card</x:v>
      </x:c>
      <x:c r="N110" s="15" t="str">
        <x:v>Corporate</x:v>
      </x:c>
    </x:row>
    <x:row r="111">
      <x:c r="A111" s="13" t="str">
        <x:v>ORD-0110</x:v>
      </x:c>
      <x:c r="B111" s="29" t="n">
        <x:v>45721</x:v>
      </x:c>
      <x:c r="C111" s="14" t="str">
        <x:f>TEXT(B111,"mmm-yyyy")</x:f>
        <x:v>Mar-2025</x:v>
      </x:c>
      <x:c r="D111" s="14" t="str">
        <x:v>Jaipur</x:v>
      </x:c>
      <x:c r="E111" s="14" t="str">
        <x:v>North</x:v>
      </x:c>
      <x:c r="F111" s="14" t="str">
        <x:v>Accessories</x:v>
      </x:c>
      <x:c r="G111" s="14" t="str">
        <x:v>Backpack</x:v>
      </x:c>
      <x:c r="H111" s="47" t="n">
        <x:v>2</x:v>
      </x:c>
      <x:c r="I111" s="35" t="n">
        <x:v>1180</x:v>
      </x:c>
      <x:c r="J111" s="41" t="n">
        <x:v>0</x:v>
      </x:c>
      <x:c r="K111" s="35" t="n">
        <x:f>ROUND(H111*I111*(1-J111),0)</x:f>
        <x:v>2360</x:v>
      </x:c>
      <x:c r="L111" s="35" t="n">
        <x:f>ROUND(K111*IF(F111="Electronics",18%,IF(F111="Office Supplies",22%,IF(F111="Furniture",15%,25%))),0)</x:f>
        <x:v>590</x:v>
      </x:c>
      <x:c r="M111" s="14" t="str">
        <x:v>Net Banking</x:v>
      </x:c>
      <x:c r="N111" s="15" t="str">
        <x:v>Corporate</x:v>
      </x:c>
    </x:row>
    <x:row r="112">
      <x:c r="A112" s="13" t="str">
        <x:v>ORD-0111</x:v>
      </x:c>
      <x:c r="B112" s="29" t="n">
        <x:v>45882</x:v>
      </x:c>
      <x:c r="C112" s="14" t="str">
        <x:f>TEXT(B112,"mmm-yyyy")</x:f>
        <x:v>Aug-2025</x:v>
      </x:c>
      <x:c r="D112" s="14" t="str">
        <x:v>Pune</x:v>
      </x:c>
      <x:c r="E112" s="14" t="str">
        <x:v>West</x:v>
      </x:c>
      <x:c r="F112" s="14" t="str">
        <x:v>Furniture</x:v>
      </x:c>
      <x:c r="G112" s="14" t="str">
        <x:v>Study Table</x:v>
      </x:c>
      <x:c r="H112" s="47" t="n">
        <x:v>1</x:v>
      </x:c>
      <x:c r="I112" s="35" t="n">
        <x:v>6923</x:v>
      </x:c>
      <x:c r="J112" s="41" t="n">
        <x:v>0</x:v>
      </x:c>
      <x:c r="K112" s="35" t="n">
        <x:f>ROUND(H112*I112*(1-J112),0)</x:f>
        <x:v>6923</x:v>
      </x:c>
      <x:c r="L112" s="35" t="n">
        <x:f>ROUND(K112*IF(F112="Electronics",18%,IF(F112="Office Supplies",22%,IF(F112="Furniture",15%,25%))),0)</x:f>
        <x:v>1038</x:v>
      </x:c>
      <x:c r="M112" s="14" t="str">
        <x:v>Debit Card</x:v>
      </x:c>
      <x:c r="N112" s="15" t="str">
        <x:v>Consumer</x:v>
      </x:c>
    </x:row>
    <x:row r="113">
      <x:c r="A113" s="13" t="str">
        <x:v>ORD-0112</x:v>
      </x:c>
      <x:c r="B113" s="29" t="n">
        <x:v>45704</x:v>
      </x:c>
      <x:c r="C113" s="14" t="str">
        <x:f>TEXT(B113,"mmm-yyyy")</x:f>
        <x:v>Feb-2025</x:v>
      </x:c>
      <x:c r="D113" s="14" t="str">
        <x:v>Hyderabad</x:v>
      </x:c>
      <x:c r="E113" s="14" t="str">
        <x:v>South</x:v>
      </x:c>
      <x:c r="F113" s="14" t="str">
        <x:v>Furniture</x:v>
      </x:c>
      <x:c r="G113" s="14" t="str">
        <x:v>Bookshelf</x:v>
      </x:c>
      <x:c r="H113" s="47" t="n">
        <x:v>5</x:v>
      </x:c>
      <x:c r="I113" s="35" t="n">
        <x:v>3541</x:v>
      </x:c>
      <x:c r="J113" s="41" t="n">
        <x:v>0.15</x:v>
      </x:c>
      <x:c r="K113" s="35" t="n">
        <x:f>ROUND(H113*I113*(1-J113),0)</x:f>
        <x:v>15049</x:v>
      </x:c>
      <x:c r="L113" s="35" t="n">
        <x:f>ROUND(K113*IF(F113="Electronics",18%,IF(F113="Office Supplies",22%,IF(F113="Furniture",15%,25%))),0)</x:f>
        <x:v>2257</x:v>
      </x:c>
      <x:c r="M113" s="14" t="str">
        <x:v>Debit Card</x:v>
      </x:c>
      <x:c r="N113" s="15" t="str">
        <x:v>Home Office</x:v>
      </x:c>
    </x:row>
    <x:row r="114">
      <x:c r="A114" s="13" t="str">
        <x:v>ORD-0113</x:v>
      </x:c>
      <x:c r="B114" s="29" t="n">
        <x:v>45678</x:v>
      </x:c>
      <x:c r="C114" s="14" t="str">
        <x:f>TEXT(B114,"mmm-yyyy")</x:f>
        <x:v>Jan-2025</x:v>
      </x:c>
      <x:c r="D114" s="14" t="str">
        <x:v>Mumbai</x:v>
      </x:c>
      <x:c r="E114" s="14" t="str">
        <x:v>West</x:v>
      </x:c>
      <x:c r="F114" s="14" t="str">
        <x:v>Office Supplies</x:v>
      </x:c>
      <x:c r="G114" s="14" t="str">
        <x:v>Printer Paper</x:v>
      </x:c>
      <x:c r="H114" s="47" t="n">
        <x:v>3</x:v>
      </x:c>
      <x:c r="I114" s="35" t="n">
        <x:v>395</x:v>
      </x:c>
      <x:c r="J114" s="41" t="n">
        <x:v>0</x:v>
      </x:c>
      <x:c r="K114" s="35" t="n">
        <x:f>ROUND(H114*I114*(1-J114),0)</x:f>
        <x:v>1185</x:v>
      </x:c>
      <x:c r="L114" s="35" t="n">
        <x:f>ROUND(K114*IF(F114="Electronics",18%,IF(F114="Office Supplies",22%,IF(F114="Furniture",15%,25%))),0)</x:f>
        <x:v>261</x:v>
      </x:c>
      <x:c r="M114" s="14" t="str">
        <x:v>Net Banking</x:v>
      </x:c>
      <x:c r="N114" s="15" t="str">
        <x:v>Corporate</x:v>
      </x:c>
    </x:row>
    <x:row r="115">
      <x:c r="A115" s="13" t="str">
        <x:v>ORD-0114</x:v>
      </x:c>
      <x:c r="B115" s="29" t="n">
        <x:v>45983</x:v>
      </x:c>
      <x:c r="C115" s="14" t="str">
        <x:f>TEXT(B115,"mmm-yyyy")</x:f>
        <x:v>Nov-2025</x:v>
      </x:c>
      <x:c r="D115" s="14" t="str">
        <x:v>Jaipur</x:v>
      </x:c>
      <x:c r="E115" s="14" t="str">
        <x:v>North</x:v>
      </x:c>
      <x:c r="F115" s="14" t="str">
        <x:v>Electronics</x:v>
      </x:c>
      <x:c r="G115" s="14" t="str">
        <x:v>Wireless Mouse</x:v>
      </x:c>
      <x:c r="H115" s="47" t="n">
        <x:v>3</x:v>
      </x:c>
      <x:c r="I115" s="35" t="n">
        <x:v>787</x:v>
      </x:c>
      <x:c r="J115" s="41" t="n">
        <x:v>0</x:v>
      </x:c>
      <x:c r="K115" s="35" t="n">
        <x:f>ROUND(H115*I115*(1-J115),0)</x:f>
        <x:v>2361</x:v>
      </x:c>
      <x:c r="L115" s="35" t="n">
        <x:f>ROUND(K115*IF(F115="Electronics",18%,IF(F115="Office Supplies",22%,IF(F115="Furniture",15%,25%))),0)</x:f>
        <x:v>425</x:v>
      </x:c>
      <x:c r="M115" s="14" t="str">
        <x:v>UPI</x:v>
      </x:c>
      <x:c r="N115" s="15" t="str">
        <x:v>Consumer</x:v>
      </x:c>
    </x:row>
    <x:row r="116">
      <x:c r="A116" s="13" t="str">
        <x:v>ORD-0115</x:v>
      </x:c>
      <x:c r="B116" s="29" t="n">
        <x:v>45826</x:v>
      </x:c>
      <x:c r="C116" s="14" t="str">
        <x:f>TEXT(B116,"mmm-yyyy")</x:f>
        <x:v>Jun-2025</x:v>
      </x:c>
      <x:c r="D116" s="14" t="str">
        <x:v>Delhi</x:v>
      </x:c>
      <x:c r="E116" s="14" t="str">
        <x:v>North</x:v>
      </x:c>
      <x:c r="F116" s="14" t="str">
        <x:v>Accessories</x:v>
      </x:c>
      <x:c r="G116" s="14" t="str">
        <x:v>Backpack</x:v>
      </x:c>
      <x:c r="H116" s="47" t="n">
        <x:v>3</x:v>
      </x:c>
      <x:c r="I116" s="35" t="n">
        <x:v>1230</x:v>
      </x:c>
      <x:c r="J116" s="41" t="n">
        <x:v>0.05</x:v>
      </x:c>
      <x:c r="K116" s="35" t="n">
        <x:f>ROUND(H116*I116*(1-J116),0)</x:f>
        <x:v>3506</x:v>
      </x:c>
      <x:c r="L116" s="35" t="n">
        <x:f>ROUND(K116*IF(F116="Electronics",18%,IF(F116="Office Supplies",22%,IF(F116="Furniture",15%,25%))),0)</x:f>
        <x:v>877</x:v>
      </x:c>
      <x:c r="M116" s="14" t="str">
        <x:v>Net Banking</x:v>
      </x:c>
      <x:c r="N116" s="15" t="str">
        <x:v>Consumer</x:v>
      </x:c>
    </x:row>
    <x:row r="117">
      <x:c r="A117" s="13" t="str">
        <x:v>ORD-0116</x:v>
      </x:c>
      <x:c r="B117" s="29" t="n">
        <x:v>45890</x:v>
      </x:c>
      <x:c r="C117" s="14" t="str">
        <x:f>TEXT(B117,"mmm-yyyy")</x:f>
        <x:v>Aug-2025</x:v>
      </x:c>
      <x:c r="D117" s="14" t="str">
        <x:v>Pune</x:v>
      </x:c>
      <x:c r="E117" s="14" t="str">
        <x:v>West</x:v>
      </x:c>
      <x:c r="F117" s="14" t="str">
        <x:v>Office Supplies</x:v>
      </x:c>
      <x:c r="G117" s="14" t="str">
        <x:v>Desk Organizer</x:v>
      </x:c>
      <x:c r="H117" s="47" t="n">
        <x:v>2</x:v>
      </x:c>
      <x:c r="I117" s="35" t="n">
        <x:v>656</x:v>
      </x:c>
      <x:c r="J117" s="41" t="n">
        <x:v>0.1</x:v>
      </x:c>
      <x:c r="K117" s="35" t="n">
        <x:f>ROUND(H117*I117*(1-J117),0)</x:f>
        <x:v>1181</x:v>
      </x:c>
      <x:c r="L117" s="35" t="n">
        <x:f>ROUND(K117*IF(F117="Electronics",18%,IF(F117="Office Supplies",22%,IF(F117="Furniture",15%,25%))),0)</x:f>
        <x:v>260</x:v>
      </x:c>
      <x:c r="M117" s="14" t="str">
        <x:v>Net Banking</x:v>
      </x:c>
      <x:c r="N117" s="15" t="str">
        <x:v>Consumer</x:v>
      </x:c>
    </x:row>
    <x:row r="118">
      <x:c r="A118" s="13" t="str">
        <x:v>ORD-0117</x:v>
      </x:c>
      <x:c r="B118" s="29" t="n">
        <x:v>45994</x:v>
      </x:c>
      <x:c r="C118" s="14" t="str">
        <x:f>TEXT(B118,"mmm-yyyy")</x:f>
        <x:v>Dec-2025</x:v>
      </x:c>
      <x:c r="D118" s="14" t="str">
        <x:v>Kolkata</x:v>
      </x:c>
      <x:c r="E118" s="14" t="str">
        <x:v>East</x:v>
      </x:c>
      <x:c r="F118" s="14" t="str">
        <x:v>Office Supplies</x:v>
      </x:c>
      <x:c r="G118" s="14" t="str">
        <x:v>Printer Paper</x:v>
      </x:c>
      <x:c r="H118" s="47" t="n">
        <x:v>2</x:v>
      </x:c>
      <x:c r="I118" s="35" t="n">
        <x:v>379</x:v>
      </x:c>
      <x:c r="J118" s="41" t="n">
        <x:v>0</x:v>
      </x:c>
      <x:c r="K118" s="35" t="n">
        <x:f>ROUND(H118*I118*(1-J118),0)</x:f>
        <x:v>758</x:v>
      </x:c>
      <x:c r="L118" s="35" t="n">
        <x:f>ROUND(K118*IF(F118="Electronics",18%,IF(F118="Office Supplies",22%,IF(F118="Furniture",15%,25%))),0)</x:f>
        <x:v>167</x:v>
      </x:c>
      <x:c r="M118" s="14" t="str">
        <x:v>Cash</x:v>
      </x:c>
      <x:c r="N118" s="15" t="str">
        <x:v>Home Office</x:v>
      </x:c>
    </x:row>
    <x:row r="119">
      <x:c r="A119" s="13" t="str">
        <x:v>ORD-0118</x:v>
      </x:c>
      <x:c r="B119" s="29" t="n">
        <x:v>45884</x:v>
      </x:c>
      <x:c r="C119" s="14" t="str">
        <x:f>TEXT(B119,"mmm-yyyy")</x:f>
        <x:v>Aug-2025</x:v>
      </x:c>
      <x:c r="D119" s="14" t="str">
        <x:v>Nagpur</x:v>
      </x:c>
      <x:c r="E119" s="14" t="str">
        <x:v>West</x:v>
      </x:c>
      <x:c r="F119" s="14" t="str">
        <x:v>Electronics</x:v>
      </x:c>
      <x:c r="G119" s="14" t="str">
        <x:v>USB-C Cable</x:v>
      </x:c>
      <x:c r="H119" s="47" t="n">
        <x:v>2</x:v>
      </x:c>
      <x:c r="I119" s="35" t="n">
        <x:v>281</x:v>
      </x:c>
      <x:c r="J119" s="41" t="n">
        <x:v>0</x:v>
      </x:c>
      <x:c r="K119" s="35" t="n">
        <x:f>ROUND(H119*I119*(1-J119),0)</x:f>
        <x:v>562</x:v>
      </x:c>
      <x:c r="L119" s="35" t="n">
        <x:f>ROUND(K119*IF(F119="Electronics",18%,IF(F119="Office Supplies",22%,IF(F119="Furniture",15%,25%))),0)</x:f>
        <x:v>101</x:v>
      </x:c>
      <x:c r="M119" s="14" t="str">
        <x:v>Cash</x:v>
      </x:c>
      <x:c r="N119" s="15" t="str">
        <x:v>Consumer</x:v>
      </x:c>
    </x:row>
    <x:row r="120">
      <x:c r="A120" s="13" t="str">
        <x:v>ORD-0119</x:v>
      </x:c>
      <x:c r="B120" s="29" t="n">
        <x:v>45672</x:v>
      </x:c>
      <x:c r="C120" s="14" t="str">
        <x:f>TEXT(B120,"mmm-yyyy")</x:f>
        <x:v>Jan-2025</x:v>
      </x:c>
      <x:c r="D120" s="14" t="str">
        <x:v>Bhopal</x:v>
      </x:c>
      <x:c r="E120" s="14" t="str">
        <x:v>Central</x:v>
      </x:c>
      <x:c r="F120" s="14" t="str">
        <x:v>Accessories</x:v>
      </x:c>
      <x:c r="G120" s="14" t="str">
        <x:v>Water Bottle</x:v>
      </x:c>
      <x:c r="H120" s="47" t="n">
        <x:v>2</x:v>
      </x:c>
      <x:c r="I120" s="35" t="n">
        <x:v>330</x:v>
      </x:c>
      <x:c r="J120" s="41" t="n">
        <x:v>0.05</x:v>
      </x:c>
      <x:c r="K120" s="35" t="n">
        <x:f>ROUND(H120*I120*(1-J120),0)</x:f>
        <x:v>627</x:v>
      </x:c>
      <x:c r="L120" s="35" t="n">
        <x:f>ROUND(K120*IF(F120="Electronics",18%,IF(F120="Office Supplies",22%,IF(F120="Furniture",15%,25%))),0)</x:f>
        <x:v>157</x:v>
      </x:c>
      <x:c r="M120" s="14" t="str">
        <x:v>Net Banking</x:v>
      </x:c>
      <x:c r="N120" s="15" t="str">
        <x:v>Corporate</x:v>
      </x:c>
    </x:row>
    <x:row r="121">
      <x:c r="A121" s="13" t="str">
        <x:v>ORD-0120</x:v>
      </x:c>
      <x:c r="B121" s="29" t="n">
        <x:v>45705</x:v>
      </x:c>
      <x:c r="C121" s="14" t="str">
        <x:f>TEXT(B121,"mmm-yyyy")</x:f>
        <x:v>Feb-2025</x:v>
      </x:c>
      <x:c r="D121" s="14" t="str">
        <x:v>Hyderabad</x:v>
      </x:c>
      <x:c r="E121" s="14" t="str">
        <x:v>South</x:v>
      </x:c>
      <x:c r="F121" s="14" t="str">
        <x:v>Accessories</x:v>
      </x:c>
      <x:c r="G121" s="14" t="str">
        <x:v>Laptop Sleeve</x:v>
      </x:c>
      <x:c r="H121" s="47" t="n">
        <x:v>6</x:v>
      </x:c>
      <x:c r="I121" s="35" t="n">
        <x:v>695</x:v>
      </x:c>
      <x:c r="J121" s="41" t="n">
        <x:v>0</x:v>
      </x:c>
      <x:c r="K121" s="35" t="n">
        <x:f>ROUND(H121*I121*(1-J121),0)</x:f>
        <x:v>4170</x:v>
      </x:c>
      <x:c r="L121" s="35" t="n">
        <x:f>ROUND(K121*IF(F121="Electronics",18%,IF(F121="Office Supplies",22%,IF(F121="Furniture",15%,25%))),0)</x:f>
        <x:v>1043</x:v>
      </x:c>
      <x:c r="M121" s="14" t="str">
        <x:v>Credit Card</x:v>
      </x:c>
      <x:c r="N121" s="15" t="str">
        <x:v>Corporate</x:v>
      </x:c>
    </x:row>
    <x:row r="122">
      <x:c r="A122" s="13" t="str">
        <x:v>ORD-0121</x:v>
      </x:c>
      <x:c r="B122" s="29" t="n">
        <x:v>45807</x:v>
      </x:c>
      <x:c r="C122" s="14" t="str">
        <x:f>TEXT(B122,"mmm-yyyy")</x:f>
        <x:v>May-2025</x:v>
      </x:c>
      <x:c r="D122" s="14" t="str">
        <x:v>Kolkata</x:v>
      </x:c>
      <x:c r="E122" s="14" t="str">
        <x:v>East</x:v>
      </x:c>
      <x:c r="F122" s="14" t="str">
        <x:v>Accessories</x:v>
      </x:c>
      <x:c r="G122" s="14" t="str">
        <x:v>Backpack</x:v>
      </x:c>
      <x:c r="H122" s="47" t="n">
        <x:v>2</x:v>
      </x:c>
      <x:c r="I122" s="35" t="n">
        <x:v>1263</x:v>
      </x:c>
      <x:c r="J122" s="41" t="n">
        <x:v>0.2</x:v>
      </x:c>
      <x:c r="K122" s="35" t="n">
        <x:f>ROUND(H122*I122*(1-J122),0)</x:f>
        <x:v>2021</x:v>
      </x:c>
      <x:c r="L122" s="35" t="n">
        <x:f>ROUND(K122*IF(F122="Electronics",18%,IF(F122="Office Supplies",22%,IF(F122="Furniture",15%,25%))),0)</x:f>
        <x:v>505</x:v>
      </x:c>
      <x:c r="M122" s="14" t="str">
        <x:v>Credit Card</x:v>
      </x:c>
      <x:c r="N122" s="15" t="str">
        <x:v>Corporate</x:v>
      </x:c>
    </x:row>
    <x:row r="123">
      <x:c r="A123" s="13" t="str">
        <x:v>ORD-0122</x:v>
      </x:c>
      <x:c r="B123" s="29" t="n">
        <x:v>45940</x:v>
      </x:c>
      <x:c r="C123" s="14" t="str">
        <x:f>TEXT(B123,"mmm-yyyy")</x:f>
        <x:v>Oct-2025</x:v>
      </x:c>
      <x:c r="D123" s="14" t="str">
        <x:v>Mumbai</x:v>
      </x:c>
      <x:c r="E123" s="14" t="str">
        <x:v>West</x:v>
      </x:c>
      <x:c r="F123" s="14" t="str">
        <x:v>Office Supplies</x:v>
      </x:c>
      <x:c r="G123" s="14" t="str">
        <x:v>Ball Pen Set</x:v>
      </x:c>
      <x:c r="H123" s="47" t="n">
        <x:v>1</x:v>
      </x:c>
      <x:c r="I123" s="35" t="n">
        <x:v>202</x:v>
      </x:c>
      <x:c r="J123" s="41" t="n">
        <x:v>0.1</x:v>
      </x:c>
      <x:c r="K123" s="35" t="n">
        <x:f>ROUND(H123*I123*(1-J123),0)</x:f>
        <x:v>182</x:v>
      </x:c>
      <x:c r="L123" s="35" t="n">
        <x:f>ROUND(K123*IF(F123="Electronics",18%,IF(F123="Office Supplies",22%,IF(F123="Furniture",15%,25%))),0)</x:f>
        <x:v>40</x:v>
      </x:c>
      <x:c r="M123" s="14" t="str">
        <x:v>Credit Card</x:v>
      </x:c>
      <x:c r="N123" s="15" t="str">
        <x:v>Consumer</x:v>
      </x:c>
    </x:row>
    <x:row r="124">
      <x:c r="A124" s="13" t="str">
        <x:v>ORD-0123</x:v>
      </x:c>
      <x:c r="B124" s="29" t="n">
        <x:v>45799</x:v>
      </x:c>
      <x:c r="C124" s="14" t="str">
        <x:f>TEXT(B124,"mmm-yyyy")</x:f>
        <x:v>May-2025</x:v>
      </x:c>
      <x:c r="D124" s="14" t="str">
        <x:v>Delhi</x:v>
      </x:c>
      <x:c r="E124" s="14" t="str">
        <x:v>North</x:v>
      </x:c>
      <x:c r="F124" s="14" t="str">
        <x:v>Office Supplies</x:v>
      </x:c>
      <x:c r="G124" s="14" t="str">
        <x:v>Desk Organizer</x:v>
      </x:c>
      <x:c r="H124" s="47" t="n">
        <x:v>7</x:v>
      </x:c>
      <x:c r="I124" s="35" t="n">
        <x:v>700</x:v>
      </x:c>
      <x:c r="J124" s="41" t="n">
        <x:v>0.1</x:v>
      </x:c>
      <x:c r="K124" s="35" t="n">
        <x:f>ROUND(H124*I124*(1-J124),0)</x:f>
        <x:v>4410</x:v>
      </x:c>
      <x:c r="L124" s="35" t="n">
        <x:f>ROUND(K124*IF(F124="Electronics",18%,IF(F124="Office Supplies",22%,IF(F124="Furniture",15%,25%))),0)</x:f>
        <x:v>970</x:v>
      </x:c>
      <x:c r="M124" s="14" t="str">
        <x:v>Debit Card</x:v>
      </x:c>
      <x:c r="N124" s="15" t="str">
        <x:v>Home Office</x:v>
      </x:c>
    </x:row>
    <x:row r="125">
      <x:c r="A125" s="13" t="str">
        <x:v>ORD-0124</x:v>
      </x:c>
      <x:c r="B125" s="29" t="n">
        <x:v>45810</x:v>
      </x:c>
      <x:c r="C125" s="14" t="str">
        <x:f>TEXT(B125,"mmm-yyyy")</x:f>
        <x:v>Jun-2025</x:v>
      </x:c>
      <x:c r="D125" s="14" t="str">
        <x:v>Bhopal</x:v>
      </x:c>
      <x:c r="E125" s="14" t="str">
        <x:v>Central</x:v>
      </x:c>
      <x:c r="F125" s="14" t="str">
        <x:v>Furniture</x:v>
      </x:c>
      <x:c r="G125" s="14" t="str">
        <x:v>Study Table</x:v>
      </x:c>
      <x:c r="H125" s="47" t="n">
        <x:v>8</x:v>
      </x:c>
      <x:c r="I125" s="35" t="n">
        <x:v>6987</x:v>
      </x:c>
      <x:c r="J125" s="41" t="n">
        <x:v>0</x:v>
      </x:c>
      <x:c r="K125" s="35" t="n">
        <x:f>ROUND(H125*I125*(1-J125),0)</x:f>
        <x:v>55896</x:v>
      </x:c>
      <x:c r="L125" s="35" t="n">
        <x:f>ROUND(K125*IF(F125="Electronics",18%,IF(F125="Office Supplies",22%,IF(F125="Furniture",15%,25%))),0)</x:f>
        <x:v>8384</x:v>
      </x:c>
      <x:c r="M125" s="14" t="str">
        <x:v>Net Banking</x:v>
      </x:c>
      <x:c r="N125" s="15" t="str">
        <x:v>Corporate</x:v>
      </x:c>
    </x:row>
    <x:row r="126">
      <x:c r="A126" s="13" t="str">
        <x:v>ORD-0125</x:v>
      </x:c>
      <x:c r="B126" s="29" t="n">
        <x:v>45834</x:v>
      </x:c>
      <x:c r="C126" s="14" t="str">
        <x:f>TEXT(B126,"mmm-yyyy")</x:f>
        <x:v>Jun-2025</x:v>
      </x:c>
      <x:c r="D126" s="14" t="str">
        <x:v>Chennai</x:v>
      </x:c>
      <x:c r="E126" s="14" t="str">
        <x:v>South</x:v>
      </x:c>
      <x:c r="F126" s="14" t="str">
        <x:v>Furniture</x:v>
      </x:c>
      <x:c r="G126" s="14" t="str">
        <x:v>Office Chair</x:v>
      </x:c>
      <x:c r="H126" s="47" t="n">
        <x:v>4</x:v>
      </x:c>
      <x:c r="I126" s="35" t="n">
        <x:v>4901</x:v>
      </x:c>
      <x:c r="J126" s="41" t="n">
        <x:v>0.15</x:v>
      </x:c>
      <x:c r="K126" s="35" t="n">
        <x:f>ROUND(H126*I126*(1-J126),0)</x:f>
        <x:v>16663</x:v>
      </x:c>
      <x:c r="L126" s="35" t="n">
        <x:f>ROUND(K126*IF(F126="Electronics",18%,IF(F126="Office Supplies",22%,IF(F126="Furniture",15%,25%))),0)</x:f>
        <x:v>2499</x:v>
      </x:c>
      <x:c r="M126" s="14" t="str">
        <x:v>Credit Card</x:v>
      </x:c>
      <x:c r="N126" s="15" t="str">
        <x:v>Home Office</x:v>
      </x:c>
    </x:row>
    <x:row r="127">
      <x:c r="A127" s="13" t="str">
        <x:v>ORD-0126</x:v>
      </x:c>
      <x:c r="B127" s="29" t="n">
        <x:v>45780</x:v>
      </x:c>
      <x:c r="C127" s="14" t="str">
        <x:f>TEXT(B127,"mmm-yyyy")</x:f>
        <x:v>May-2025</x:v>
      </x:c>
      <x:c r="D127" s="14" t="str">
        <x:v>Bhopal</x:v>
      </x:c>
      <x:c r="E127" s="14" t="str">
        <x:v>Central</x:v>
      </x:c>
      <x:c r="F127" s="14" t="str">
        <x:v>Office Supplies</x:v>
      </x:c>
      <x:c r="G127" s="14" t="str">
        <x:v>Ball Pen Set</x:v>
      </x:c>
      <x:c r="H127" s="47" t="n">
        <x:v>2</x:v>
      </x:c>
      <x:c r="I127" s="35" t="n">
        <x:v>208</x:v>
      </x:c>
      <x:c r="J127" s="41" t="n">
        <x:v>0</x:v>
      </x:c>
      <x:c r="K127" s="35" t="n">
        <x:f>ROUND(H127*I127*(1-J127),0)</x:f>
        <x:v>416</x:v>
      </x:c>
      <x:c r="L127" s="35" t="n">
        <x:f>ROUND(K127*IF(F127="Electronics",18%,IF(F127="Office Supplies",22%,IF(F127="Furniture",15%,25%))),0)</x:f>
        <x:v>92</x:v>
      </x:c>
      <x:c r="M127" s="14" t="str">
        <x:v>Cash</x:v>
      </x:c>
      <x:c r="N127" s="15" t="str">
        <x:v>Home Office</x:v>
      </x:c>
    </x:row>
    <x:row r="128">
      <x:c r="A128" s="13" t="str">
        <x:v>ORD-0127</x:v>
      </x:c>
      <x:c r="B128" s="29" t="n">
        <x:v>45853</x:v>
      </x:c>
      <x:c r="C128" s="14" t="str">
        <x:f>TEXT(B128,"mmm-yyyy")</x:f>
        <x:v>Jul-2025</x:v>
      </x:c>
      <x:c r="D128" s="14" t="str">
        <x:v>Delhi</x:v>
      </x:c>
      <x:c r="E128" s="14" t="str">
        <x:v>North</x:v>
      </x:c>
      <x:c r="F128" s="14" t="str">
        <x:v>Furniture</x:v>
      </x:c>
      <x:c r="G128" s="14" t="str">
        <x:v>Bookshelf</x:v>
      </x:c>
      <x:c r="H128" s="47" t="n">
        <x:v>5</x:v>
      </x:c>
      <x:c r="I128" s="35" t="n">
        <x:v>3584</x:v>
      </x:c>
      <x:c r="J128" s="41" t="n">
        <x:v>0</x:v>
      </x:c>
      <x:c r="K128" s="35" t="n">
        <x:f>ROUND(H128*I128*(1-J128),0)</x:f>
        <x:v>17920</x:v>
      </x:c>
      <x:c r="L128" s="35" t="n">
        <x:f>ROUND(K128*IF(F128="Electronics",18%,IF(F128="Office Supplies",22%,IF(F128="Furniture",15%,25%))),0)</x:f>
        <x:v>2688</x:v>
      </x:c>
      <x:c r="M128" s="14" t="str">
        <x:v>UPI</x:v>
      </x:c>
      <x:c r="N128" s="15" t="str">
        <x:v>Consumer</x:v>
      </x:c>
    </x:row>
    <x:row r="129">
      <x:c r="A129" s="13" t="str">
        <x:v>ORD-0128</x:v>
      </x:c>
      <x:c r="B129" s="29" t="n">
        <x:v>45915</x:v>
      </x:c>
      <x:c r="C129" s="14" t="str">
        <x:f>TEXT(B129,"mmm-yyyy")</x:f>
        <x:v>Sep-2025</x:v>
      </x:c>
      <x:c r="D129" s="14" t="str">
        <x:v>Bhopal</x:v>
      </x:c>
      <x:c r="E129" s="14" t="str">
        <x:v>Central</x:v>
      </x:c>
      <x:c r="F129" s="14" t="str">
        <x:v>Office Supplies</x:v>
      </x:c>
      <x:c r="G129" s="14" t="str">
        <x:v>Desk Organizer</x:v>
      </x:c>
      <x:c r="H129" s="47" t="n">
        <x:v>5</x:v>
      </x:c>
      <x:c r="I129" s="35" t="n">
        <x:v>741</x:v>
      </x:c>
      <x:c r="J129" s="41" t="n">
        <x:v>0.05</x:v>
      </x:c>
      <x:c r="K129" s="35" t="n">
        <x:f>ROUND(H129*I129*(1-J129),0)</x:f>
        <x:v>3520</x:v>
      </x:c>
      <x:c r="L129" s="35" t="n">
        <x:f>ROUND(K129*IF(F129="Electronics",18%,IF(F129="Office Supplies",22%,IF(F129="Furniture",15%,25%))),0)</x:f>
        <x:v>774</x:v>
      </x:c>
      <x:c r="M129" s="14" t="str">
        <x:v>Net Banking</x:v>
      </x:c>
      <x:c r="N129" s="15" t="str">
        <x:v>Corporate</x:v>
      </x:c>
    </x:row>
    <x:row r="130">
      <x:c r="A130" s="13" t="str">
        <x:v>ORD-0129</x:v>
      </x:c>
      <x:c r="B130" s="29" t="n">
        <x:v>45665</x:v>
      </x:c>
      <x:c r="C130" s="14" t="str">
        <x:f>TEXT(B130,"mmm-yyyy")</x:f>
        <x:v>Jan-2025</x:v>
      </x:c>
      <x:c r="D130" s="14" t="str">
        <x:v>Mumbai</x:v>
      </x:c>
      <x:c r="E130" s="14" t="str">
        <x:v>West</x:v>
      </x:c>
      <x:c r="F130" s="14" t="str">
        <x:v>Office Supplies</x:v>
      </x:c>
      <x:c r="G130" s="14" t="str">
        <x:v>Ball Pen Set</x:v>
      </x:c>
      <x:c r="H130" s="47" t="n">
        <x:v>6</x:v>
      </x:c>
      <x:c r="I130" s="35" t="n">
        <x:v>214</x:v>
      </x:c>
      <x:c r="J130" s="41" t="n">
        <x:v>0</x:v>
      </x:c>
      <x:c r="K130" s="35" t="n">
        <x:f>ROUND(H130*I130*(1-J130),0)</x:f>
        <x:v>1284</x:v>
      </x:c>
      <x:c r="L130" s="35" t="n">
        <x:f>ROUND(K130*IF(F130="Electronics",18%,IF(F130="Office Supplies",22%,IF(F130="Furniture",15%,25%))),0)</x:f>
        <x:v>282</x:v>
      </x:c>
      <x:c r="M130" s="14" t="str">
        <x:v>Debit Card</x:v>
      </x:c>
      <x:c r="N130" s="15" t="str">
        <x:v>Corporate</x:v>
      </x:c>
    </x:row>
    <x:row r="131">
      <x:c r="A131" s="13" t="str">
        <x:v>ORD-0130</x:v>
      </x:c>
      <x:c r="B131" s="29" t="n">
        <x:v>45977</x:v>
      </x:c>
      <x:c r="C131" s="14" t="str">
        <x:f>TEXT(B131,"mmm-yyyy")</x:f>
        <x:v>Nov-2025</x:v>
      </x:c>
      <x:c r="D131" s="14" t="str">
        <x:v>Delhi</x:v>
      </x:c>
      <x:c r="E131" s="14" t="str">
        <x:v>North</x:v>
      </x:c>
      <x:c r="F131" s="14" t="str">
        <x:v>Furniture</x:v>
      </x:c>
      <x:c r="G131" s="14" t="str">
        <x:v>Bookshelf</x:v>
      </x:c>
      <x:c r="H131" s="47" t="n">
        <x:v>1</x:v>
      </x:c>
      <x:c r="I131" s="35" t="n">
        <x:v>3403</x:v>
      </x:c>
      <x:c r="J131" s="41" t="n">
        <x:v>0.1</x:v>
      </x:c>
      <x:c r="K131" s="35" t="n">
        <x:f>ROUND(H131*I131*(1-J131),0)</x:f>
        <x:v>3063</x:v>
      </x:c>
      <x:c r="L131" s="35" t="n">
        <x:f>ROUND(K131*IF(F131="Electronics",18%,IF(F131="Office Supplies",22%,IF(F131="Furniture",15%,25%))),0)</x:f>
        <x:v>459</x:v>
      </x:c>
      <x:c r="M131" s="14" t="str">
        <x:v>Net Banking</x:v>
      </x:c>
      <x:c r="N131" s="15" t="str">
        <x:v>Corporate</x:v>
      </x:c>
    </x:row>
    <x:row r="132">
      <x:c r="A132" s="13" t="str">
        <x:v>ORD-0131</x:v>
      </x:c>
      <x:c r="B132" s="29" t="n">
        <x:v>45820</x:v>
      </x:c>
      <x:c r="C132" s="14" t="str">
        <x:f>TEXT(B132,"mmm-yyyy")</x:f>
        <x:v>Jun-2025</x:v>
      </x:c>
      <x:c r="D132" s="14" t="str">
        <x:v>Jaipur</x:v>
      </x:c>
      <x:c r="E132" s="14" t="str">
        <x:v>North</x:v>
      </x:c>
      <x:c r="F132" s="14" t="str">
        <x:v>Accessories</x:v>
      </x:c>
      <x:c r="G132" s="14" t="str">
        <x:v>Laptop Sleeve</x:v>
      </x:c>
      <x:c r="H132" s="47" t="n">
        <x:v>3</x:v>
      </x:c>
      <x:c r="I132" s="35" t="n">
        <x:v>712</x:v>
      </x:c>
      <x:c r="J132" s="41" t="n">
        <x:v>0</x:v>
      </x:c>
      <x:c r="K132" s="35" t="n">
        <x:f>ROUND(H132*I132*(1-J132),0)</x:f>
        <x:v>2136</x:v>
      </x:c>
      <x:c r="L132" s="35" t="n">
        <x:f>ROUND(K132*IF(F132="Electronics",18%,IF(F132="Office Supplies",22%,IF(F132="Furniture",15%,25%))),0)</x:f>
        <x:v>534</x:v>
      </x:c>
      <x:c r="M132" s="14" t="str">
        <x:v>Debit Card</x:v>
      </x:c>
      <x:c r="N132" s="15" t="str">
        <x:v>Consumer</x:v>
      </x:c>
    </x:row>
    <x:row r="133">
      <x:c r="A133" s="13" t="str">
        <x:v>ORD-0132</x:v>
      </x:c>
      <x:c r="B133" s="29" t="n">
        <x:v>45704</x:v>
      </x:c>
      <x:c r="C133" s="14" t="str">
        <x:f>TEXT(B133,"mmm-yyyy")</x:f>
        <x:v>Feb-2025</x:v>
      </x:c>
      <x:c r="D133" s="14" t="str">
        <x:v>Delhi</x:v>
      </x:c>
      <x:c r="E133" s="14" t="str">
        <x:v>North</x:v>
      </x:c>
      <x:c r="F133" s="14" t="str">
        <x:v>Electronics</x:v>
      </x:c>
      <x:c r="G133" s="14" t="str">
        <x:v>Wireless Mouse</x:v>
      </x:c>
      <x:c r="H133" s="47" t="n">
        <x:v>4</x:v>
      </x:c>
      <x:c r="I133" s="35" t="n">
        <x:v>825</x:v>
      </x:c>
      <x:c r="J133" s="41" t="n">
        <x:v>0</x:v>
      </x:c>
      <x:c r="K133" s="35" t="n">
        <x:f>ROUND(H133*I133*(1-J133),0)</x:f>
        <x:v>3300</x:v>
      </x:c>
      <x:c r="L133" s="35" t="n">
        <x:f>ROUND(K133*IF(F133="Electronics",18%,IF(F133="Office Supplies",22%,IF(F133="Furniture",15%,25%))),0)</x:f>
        <x:v>594</x:v>
      </x:c>
      <x:c r="M133" s="14" t="str">
        <x:v>Credit Card</x:v>
      </x:c>
      <x:c r="N133" s="15" t="str">
        <x:v>Home Office</x:v>
      </x:c>
    </x:row>
    <x:row r="134">
      <x:c r="A134" s="13" t="str">
        <x:v>ORD-0133</x:v>
      </x:c>
      <x:c r="B134" s="29" t="n">
        <x:v>45811</x:v>
      </x:c>
      <x:c r="C134" s="14" t="str">
        <x:f>TEXT(B134,"mmm-yyyy")</x:f>
        <x:v>Jun-2025</x:v>
      </x:c>
      <x:c r="D134" s="14" t="str">
        <x:v>Nagpur</x:v>
      </x:c>
      <x:c r="E134" s="14" t="str">
        <x:v>West</x:v>
      </x:c>
      <x:c r="F134" s="14" t="str">
        <x:v>Electronics</x:v>
      </x:c>
      <x:c r="G134" s="14" t="str">
        <x:v>Laptop Stand</x:v>
      </x:c>
      <x:c r="H134" s="47" t="n">
        <x:v>2</x:v>
      </x:c>
      <x:c r="I134" s="35" t="n">
        <x:v>1207</x:v>
      </x:c>
      <x:c r="J134" s="41" t="n">
        <x:v>0</x:v>
      </x:c>
      <x:c r="K134" s="35" t="n">
        <x:f>ROUND(H134*I134*(1-J134),0)</x:f>
        <x:v>2414</x:v>
      </x:c>
      <x:c r="L134" s="35" t="n">
        <x:f>ROUND(K134*IF(F134="Electronics",18%,IF(F134="Office Supplies",22%,IF(F134="Furniture",15%,25%))),0)</x:f>
        <x:v>435</x:v>
      </x:c>
      <x:c r="M134" s="14" t="str">
        <x:v>Cash</x:v>
      </x:c>
      <x:c r="N134" s="15" t="str">
        <x:v>Consumer</x:v>
      </x:c>
    </x:row>
    <x:row r="135">
      <x:c r="A135" s="13" t="str">
        <x:v>ORD-0134</x:v>
      </x:c>
      <x:c r="B135" s="29" t="n">
        <x:v>45783</x:v>
      </x:c>
      <x:c r="C135" s="14" t="str">
        <x:f>TEXT(B135,"mmm-yyyy")</x:f>
        <x:v>May-2025</x:v>
      </x:c>
      <x:c r="D135" s="14" t="str">
        <x:v>Kolkata</x:v>
      </x:c>
      <x:c r="E135" s="14" t="str">
        <x:v>East</x:v>
      </x:c>
      <x:c r="F135" s="14" t="str">
        <x:v>Office Supplies</x:v>
      </x:c>
      <x:c r="G135" s="14" t="str">
        <x:v>Ball Pen Set</x:v>
      </x:c>
      <x:c r="H135" s="47" t="n">
        <x:v>3</x:v>
      </x:c>
      <x:c r="I135" s="35" t="n">
        <x:v>208</x:v>
      </x:c>
      <x:c r="J135" s="41" t="n">
        <x:v>0</x:v>
      </x:c>
      <x:c r="K135" s="35" t="n">
        <x:f>ROUND(H135*I135*(1-J135),0)</x:f>
        <x:v>624</x:v>
      </x:c>
      <x:c r="L135" s="35" t="n">
        <x:f>ROUND(K135*IF(F135="Electronics",18%,IF(F135="Office Supplies",22%,IF(F135="Furniture",15%,25%))),0)</x:f>
        <x:v>137</x:v>
      </x:c>
      <x:c r="M135" s="14" t="str">
        <x:v>UPI</x:v>
      </x:c>
      <x:c r="N135" s="15" t="str">
        <x:v>Home Office</x:v>
      </x:c>
    </x:row>
    <x:row r="136">
      <x:c r="A136" s="13" t="str">
        <x:v>ORD-0135</x:v>
      </x:c>
      <x:c r="B136" s="29" t="n">
        <x:v>45853</x:v>
      </x:c>
      <x:c r="C136" s="14" t="str">
        <x:f>TEXT(B136,"mmm-yyyy")</x:f>
        <x:v>Jul-2025</x:v>
      </x:c>
      <x:c r="D136" s="14" t="str">
        <x:v>Bhopal</x:v>
      </x:c>
      <x:c r="E136" s="14" t="str">
        <x:v>Central</x:v>
      </x:c>
      <x:c r="F136" s="14" t="str">
        <x:v>Furniture</x:v>
      </x:c>
      <x:c r="G136" s="14" t="str">
        <x:v>Bookshelf</x:v>
      </x:c>
      <x:c r="H136" s="47" t="n">
        <x:v>2</x:v>
      </x:c>
      <x:c r="I136" s="35" t="n">
        <x:v>3730</x:v>
      </x:c>
      <x:c r="J136" s="41" t="n">
        <x:v>0</x:v>
      </x:c>
      <x:c r="K136" s="35" t="n">
        <x:f>ROUND(H136*I136*(1-J136),0)</x:f>
        <x:v>7460</x:v>
      </x:c>
      <x:c r="L136" s="35" t="n">
        <x:f>ROUND(K136*IF(F136="Electronics",18%,IF(F136="Office Supplies",22%,IF(F136="Furniture",15%,25%))),0)</x:f>
        <x:v>1119</x:v>
      </x:c>
      <x:c r="M136" s="14" t="str">
        <x:v>Cash</x:v>
      </x:c>
      <x:c r="N136" s="15" t="str">
        <x:v>Home Office</x:v>
      </x:c>
    </x:row>
    <x:row r="137">
      <x:c r="A137" s="13" t="str">
        <x:v>ORD-0136</x:v>
      </x:c>
      <x:c r="B137" s="29" t="n">
        <x:v>45788</x:v>
      </x:c>
      <x:c r="C137" s="14" t="str">
        <x:f>TEXT(B137,"mmm-yyyy")</x:f>
        <x:v>May-2025</x:v>
      </x:c>
      <x:c r="D137" s="14" t="str">
        <x:v>Jaipur</x:v>
      </x:c>
      <x:c r="E137" s="14" t="str">
        <x:v>North</x:v>
      </x:c>
      <x:c r="F137" s="14" t="str">
        <x:v>Office Supplies</x:v>
      </x:c>
      <x:c r="G137" s="14" t="str">
        <x:v>Notebook Pack</x:v>
      </x:c>
      <x:c r="H137" s="47" t="n">
        <x:v>4</x:v>
      </x:c>
      <x:c r="I137" s="35" t="n">
        <x:v>265</x:v>
      </x:c>
      <x:c r="J137" s="41" t="n">
        <x:v>0.05</x:v>
      </x:c>
      <x:c r="K137" s="35" t="n">
        <x:f>ROUND(H137*I137*(1-J137),0)</x:f>
        <x:v>1007</x:v>
      </x:c>
      <x:c r="L137" s="35" t="n">
        <x:f>ROUND(K137*IF(F137="Electronics",18%,IF(F137="Office Supplies",22%,IF(F137="Furniture",15%,25%))),0)</x:f>
        <x:v>222</x:v>
      </x:c>
      <x:c r="M137" s="14" t="str">
        <x:v>Debit Card</x:v>
      </x:c>
      <x:c r="N137" s="15" t="str">
        <x:v>Home Office</x:v>
      </x:c>
    </x:row>
    <x:row r="138">
      <x:c r="A138" s="13" t="str">
        <x:v>ORD-0137</x:v>
      </x:c>
      <x:c r="B138" s="29" t="n">
        <x:v>45937</x:v>
      </x:c>
      <x:c r="C138" s="14" t="str">
        <x:f>TEXT(B138,"mmm-yyyy")</x:f>
        <x:v>Oct-2025</x:v>
      </x:c>
      <x:c r="D138" s="14" t="str">
        <x:v>Mumbai</x:v>
      </x:c>
      <x:c r="E138" s="14" t="str">
        <x:v>West</x:v>
      </x:c>
      <x:c r="F138" s="14" t="str">
        <x:v>Electronics</x:v>
      </x:c>
      <x:c r="G138" s="14" t="str">
        <x:v>Wireless Mouse</x:v>
      </x:c>
      <x:c r="H138" s="47" t="n">
        <x:v>2</x:v>
      </x:c>
      <x:c r="I138" s="35" t="n">
        <x:v>779</x:v>
      </x:c>
      <x:c r="J138" s="41" t="n">
        <x:v>0.05</x:v>
      </x:c>
      <x:c r="K138" s="35" t="n">
        <x:f>ROUND(H138*I138*(1-J138),0)</x:f>
        <x:v>1480</x:v>
      </x:c>
      <x:c r="L138" s="35" t="n">
        <x:f>ROUND(K138*IF(F138="Electronics",18%,IF(F138="Office Supplies",22%,IF(F138="Furniture",15%,25%))),0)</x:f>
        <x:v>266</x:v>
      </x:c>
      <x:c r="M138" s="14" t="str">
        <x:v>Cash</x:v>
      </x:c>
      <x:c r="N138" s="15" t="str">
        <x:v>Home Office</x:v>
      </x:c>
    </x:row>
    <x:row r="139">
      <x:c r="A139" s="13" t="str">
        <x:v>ORD-0138</x:v>
      </x:c>
      <x:c r="B139" s="29" t="n">
        <x:v>45786</x:v>
      </x:c>
      <x:c r="C139" s="14" t="str">
        <x:f>TEXT(B139,"mmm-yyyy")</x:f>
        <x:v>May-2025</x:v>
      </x:c>
      <x:c r="D139" s="14" t="str">
        <x:v>Jaipur</x:v>
      </x:c>
      <x:c r="E139" s="14" t="str">
        <x:v>North</x:v>
      </x:c>
      <x:c r="F139" s="14" t="str">
        <x:v>Accessories</x:v>
      </x:c>
      <x:c r="G139" s="14" t="str">
        <x:v>Laptop Sleeve</x:v>
      </x:c>
      <x:c r="H139" s="47" t="n">
        <x:v>2</x:v>
      </x:c>
      <x:c r="I139" s="35" t="n">
        <x:v>755</x:v>
      </x:c>
      <x:c r="J139" s="41" t="n">
        <x:v>0.15</x:v>
      </x:c>
      <x:c r="K139" s="35" t="n">
        <x:f>ROUND(H139*I139*(1-J139),0)</x:f>
        <x:v>1284</x:v>
      </x:c>
      <x:c r="L139" s="35" t="n">
        <x:f>ROUND(K139*IF(F139="Electronics",18%,IF(F139="Office Supplies",22%,IF(F139="Furniture",15%,25%))),0)</x:f>
        <x:v>321</x:v>
      </x:c>
      <x:c r="M139" s="14" t="str">
        <x:v>UPI</x:v>
      </x:c>
      <x:c r="N139" s="15" t="str">
        <x:v>Consumer</x:v>
      </x:c>
    </x:row>
    <x:row r="140">
      <x:c r="A140" s="13" t="str">
        <x:v>ORD-0139</x:v>
      </x:c>
      <x:c r="B140" s="29" t="n">
        <x:v>45853</x:v>
      </x:c>
      <x:c r="C140" s="14" t="str">
        <x:f>TEXT(B140,"mmm-yyyy")</x:f>
        <x:v>Jul-2025</x:v>
      </x:c>
      <x:c r="D140" s="14" t="str">
        <x:v>Bhopal</x:v>
      </x:c>
      <x:c r="E140" s="14" t="str">
        <x:v>Central</x:v>
      </x:c>
      <x:c r="F140" s="14" t="str">
        <x:v>Office Supplies</x:v>
      </x:c>
      <x:c r="G140" s="14" t="str">
        <x:v>Desk Organizer</x:v>
      </x:c>
      <x:c r="H140" s="47" t="n">
        <x:v>3</x:v>
      </x:c>
      <x:c r="I140" s="35" t="n">
        <x:v>754</x:v>
      </x:c>
      <x:c r="J140" s="41" t="n">
        <x:v>0</x:v>
      </x:c>
      <x:c r="K140" s="35" t="n">
        <x:f>ROUND(H140*I140*(1-J140),0)</x:f>
        <x:v>2262</x:v>
      </x:c>
      <x:c r="L140" s="35" t="n">
        <x:f>ROUND(K140*IF(F140="Electronics",18%,IF(F140="Office Supplies",22%,IF(F140="Furniture",15%,25%))),0)</x:f>
        <x:v>498</x:v>
      </x:c>
      <x:c r="M140" s="14" t="str">
        <x:v>Cash</x:v>
      </x:c>
      <x:c r="N140" s="15" t="str">
        <x:v>Corporate</x:v>
      </x:c>
    </x:row>
    <x:row r="141">
      <x:c r="A141" s="13" t="str">
        <x:v>ORD-0140</x:v>
      </x:c>
      <x:c r="B141" s="29" t="n">
        <x:v>45662</x:v>
      </x:c>
      <x:c r="C141" s="14" t="str">
        <x:f>TEXT(B141,"mmm-yyyy")</x:f>
        <x:v>Jan-2025</x:v>
      </x:c>
      <x:c r="D141" s="14" t="str">
        <x:v>Bhopal</x:v>
      </x:c>
      <x:c r="E141" s="14" t="str">
        <x:v>Central</x:v>
      </x:c>
      <x:c r="F141" s="14" t="str">
        <x:v>Accessories</x:v>
      </x:c>
      <x:c r="G141" s="14" t="str">
        <x:v>Laptop Sleeve</x:v>
      </x:c>
      <x:c r="H141" s="47" t="n">
        <x:v>4</x:v>
      </x:c>
      <x:c r="I141" s="35" t="n">
        <x:v>726</x:v>
      </x:c>
      <x:c r="J141" s="41" t="n">
        <x:v>0</x:v>
      </x:c>
      <x:c r="K141" s="35" t="n">
        <x:f>ROUND(H141*I141*(1-J141),0)</x:f>
        <x:v>2904</x:v>
      </x:c>
      <x:c r="L141" s="35" t="n">
        <x:f>ROUND(K141*IF(F141="Electronics",18%,IF(F141="Office Supplies",22%,IF(F141="Furniture",15%,25%))),0)</x:f>
        <x:v>726</x:v>
      </x:c>
      <x:c r="M141" s="14" t="str">
        <x:v>Net Banking</x:v>
      </x:c>
      <x:c r="N141" s="15" t="str">
        <x:v>Home Office</x:v>
      </x:c>
    </x:row>
    <x:row r="142">
      <x:c r="A142" s="13" t="str">
        <x:v>ORD-0141</x:v>
      </x:c>
      <x:c r="B142" s="29" t="n">
        <x:v>45912</x:v>
      </x:c>
      <x:c r="C142" s="14" t="str">
        <x:f>TEXT(B142,"mmm-yyyy")</x:f>
        <x:v>Sep-2025</x:v>
      </x:c>
      <x:c r="D142" s="14" t="str">
        <x:v>Bengaluru</x:v>
      </x:c>
      <x:c r="E142" s="14" t="str">
        <x:v>South</x:v>
      </x:c>
      <x:c r="F142" s="14" t="str">
        <x:v>Accessories</x:v>
      </x:c>
      <x:c r="G142" s="14" t="str">
        <x:v>Water Bottle</x:v>
      </x:c>
      <x:c r="H142" s="47" t="n">
        <x:v>5</x:v>
      </x:c>
      <x:c r="I142" s="35" t="n">
        <x:v>355</x:v>
      </x:c>
      <x:c r="J142" s="41" t="n">
        <x:v>0</x:v>
      </x:c>
      <x:c r="K142" s="35" t="n">
        <x:f>ROUND(H142*I142*(1-J142),0)</x:f>
        <x:v>1775</x:v>
      </x:c>
      <x:c r="L142" s="35" t="n">
        <x:f>ROUND(K142*IF(F142="Electronics",18%,IF(F142="Office Supplies",22%,IF(F142="Furniture",15%,25%))),0)</x:f>
        <x:v>444</x:v>
      </x:c>
      <x:c r="M142" s="14" t="str">
        <x:v>Credit Card</x:v>
      </x:c>
      <x:c r="N142" s="15" t="str">
        <x:v>Home Office</x:v>
      </x:c>
    </x:row>
    <x:row r="143">
      <x:c r="A143" s="13" t="str">
        <x:v>ORD-0142</x:v>
      </x:c>
      <x:c r="B143" s="29" t="n">
        <x:v>45786</x:v>
      </x:c>
      <x:c r="C143" s="14" t="str">
        <x:f>TEXT(B143,"mmm-yyyy")</x:f>
        <x:v>May-2025</x:v>
      </x:c>
      <x:c r="D143" s="14" t="str">
        <x:v>Mumbai</x:v>
      </x:c>
      <x:c r="E143" s="14" t="str">
        <x:v>West</x:v>
      </x:c>
      <x:c r="F143" s="14" t="str">
        <x:v>Furniture</x:v>
      </x:c>
      <x:c r="G143" s="14" t="str">
        <x:v>Bookshelf</x:v>
      </x:c>
      <x:c r="H143" s="47" t="n">
        <x:v>1</x:v>
      </x:c>
      <x:c r="I143" s="35" t="n">
        <x:v>3570</x:v>
      </x:c>
      <x:c r="J143" s="41" t="n">
        <x:v>0</x:v>
      </x:c>
      <x:c r="K143" s="35" t="n">
        <x:f>ROUND(H143*I143*(1-J143),0)</x:f>
        <x:v>3570</x:v>
      </x:c>
      <x:c r="L143" s="35" t="n">
        <x:f>ROUND(K143*IF(F143="Electronics",18%,IF(F143="Office Supplies",22%,IF(F143="Furniture",15%,25%))),0)</x:f>
        <x:v>536</x:v>
      </x:c>
      <x:c r="M143" s="14" t="str">
        <x:v>Cash</x:v>
      </x:c>
      <x:c r="N143" s="15" t="str">
        <x:v>Consumer</x:v>
      </x:c>
    </x:row>
    <x:row r="144">
      <x:c r="A144" s="13" t="str">
        <x:v>ORD-0143</x:v>
      </x:c>
      <x:c r="B144" s="29" t="n">
        <x:v>45954</x:v>
      </x:c>
      <x:c r="C144" s="14" t="str">
        <x:f>TEXT(B144,"mmm-yyyy")</x:f>
        <x:v>Oct-2025</x:v>
      </x:c>
      <x:c r="D144" s="14" t="str">
        <x:v>Chennai</x:v>
      </x:c>
      <x:c r="E144" s="14" t="str">
        <x:v>South</x:v>
      </x:c>
      <x:c r="F144" s="14" t="str">
        <x:v>Accessories</x:v>
      </x:c>
      <x:c r="G144" s="14" t="str">
        <x:v>Backpack</x:v>
      </x:c>
      <x:c r="H144" s="47" t="n">
        <x:v>1</x:v>
      </x:c>
      <x:c r="I144" s="35" t="n">
        <x:v>1278</x:v>
      </x:c>
      <x:c r="J144" s="41" t="n">
        <x:v>0</x:v>
      </x:c>
      <x:c r="K144" s="35" t="n">
        <x:f>ROUND(H144*I144*(1-J144),0)</x:f>
        <x:v>1278</x:v>
      </x:c>
      <x:c r="L144" s="35" t="n">
        <x:f>ROUND(K144*IF(F144="Electronics",18%,IF(F144="Office Supplies",22%,IF(F144="Furniture",15%,25%))),0)</x:f>
        <x:v>320</x:v>
      </x:c>
      <x:c r="M144" s="14" t="str">
        <x:v>Cash</x:v>
      </x:c>
      <x:c r="N144" s="15" t="str">
        <x:v>Consumer</x:v>
      </x:c>
    </x:row>
    <x:row r="145">
      <x:c r="A145" s="13" t="str">
        <x:v>ORD-0144</x:v>
      </x:c>
      <x:c r="B145" s="29" t="n">
        <x:v>45760</x:v>
      </x:c>
      <x:c r="C145" s="14" t="str">
        <x:f>TEXT(B145,"mmm-yyyy")</x:f>
        <x:v>Apr-2025</x:v>
      </x:c>
      <x:c r="D145" s="14" t="str">
        <x:v>Mumbai</x:v>
      </x:c>
      <x:c r="E145" s="14" t="str">
        <x:v>West</x:v>
      </x:c>
      <x:c r="F145" s="14" t="str">
        <x:v>Accessories</x:v>
      </x:c>
      <x:c r="G145" s="14" t="str">
        <x:v>Water Bottle</x:v>
      </x:c>
      <x:c r="H145" s="47" t="n">
        <x:v>3</x:v>
      </x:c>
      <x:c r="I145" s="35" t="n">
        <x:v>375</x:v>
      </x:c>
      <x:c r="J145" s="41" t="n">
        <x:v>0.05</x:v>
      </x:c>
      <x:c r="K145" s="35" t="n">
        <x:f>ROUND(H145*I145*(1-J145),0)</x:f>
        <x:v>1069</x:v>
      </x:c>
      <x:c r="L145" s="35" t="n">
        <x:f>ROUND(K145*IF(F145="Electronics",18%,IF(F145="Office Supplies",22%,IF(F145="Furniture",15%,25%))),0)</x:f>
        <x:v>267</x:v>
      </x:c>
      <x:c r="M145" s="14" t="str">
        <x:v>Debit Card</x:v>
      </x:c>
      <x:c r="N145" s="15" t="str">
        <x:v>Consumer</x:v>
      </x:c>
    </x:row>
    <x:row r="146">
      <x:c r="A146" s="13" t="str">
        <x:v>ORD-0145</x:v>
      </x:c>
      <x:c r="B146" s="29" t="n">
        <x:v>45789</x:v>
      </x:c>
      <x:c r="C146" s="14" t="str">
        <x:f>TEXT(B146,"mmm-yyyy")</x:f>
        <x:v>May-2025</x:v>
      </x:c>
      <x:c r="D146" s="14" t="str">
        <x:v>Jaipur</x:v>
      </x:c>
      <x:c r="E146" s="14" t="str">
        <x:v>North</x:v>
      </x:c>
      <x:c r="F146" s="14" t="str">
        <x:v>Accessories</x:v>
      </x:c>
      <x:c r="G146" s="14" t="str">
        <x:v>Water Bottle</x:v>
      </x:c>
      <x:c r="H146" s="47" t="n">
        <x:v>2</x:v>
      </x:c>
      <x:c r="I146" s="35" t="n">
        <x:v>370</x:v>
      </x:c>
      <x:c r="J146" s="41" t="n">
        <x:v>0.1</x:v>
      </x:c>
      <x:c r="K146" s="35" t="n">
        <x:f>ROUND(H146*I146*(1-J146),0)</x:f>
        <x:v>666</x:v>
      </x:c>
      <x:c r="L146" s="35" t="n">
        <x:f>ROUND(K146*IF(F146="Electronics",18%,IF(F146="Office Supplies",22%,IF(F146="Furniture",15%,25%))),0)</x:f>
        <x:v>167</x:v>
      </x:c>
      <x:c r="M146" s="14" t="str">
        <x:v>Cash</x:v>
      </x:c>
      <x:c r="N146" s="15" t="str">
        <x:v>Consumer</x:v>
      </x:c>
    </x:row>
    <x:row r="147">
      <x:c r="A147" s="13" t="str">
        <x:v>ORD-0146</x:v>
      </x:c>
      <x:c r="B147" s="29" t="n">
        <x:v>45730</x:v>
      </x:c>
      <x:c r="C147" s="14" t="str">
        <x:f>TEXT(B147,"mmm-yyyy")</x:f>
        <x:v>Mar-2025</x:v>
      </x:c>
      <x:c r="D147" s="14" t="str">
        <x:v>Hyderabad</x:v>
      </x:c>
      <x:c r="E147" s="14" t="str">
        <x:v>South</x:v>
      </x:c>
      <x:c r="F147" s="14" t="str">
        <x:v>Accessories</x:v>
      </x:c>
      <x:c r="G147" s="14" t="str">
        <x:v>Laptop Sleeve</x:v>
      </x:c>
      <x:c r="H147" s="47" t="n">
        <x:v>4</x:v>
      </x:c>
      <x:c r="I147" s="35" t="n">
        <x:v>719</x:v>
      </x:c>
      <x:c r="J147" s="41" t="n">
        <x:v>0.05</x:v>
      </x:c>
      <x:c r="K147" s="35" t="n">
        <x:f>ROUND(H147*I147*(1-J147),0)</x:f>
        <x:v>2732</x:v>
      </x:c>
      <x:c r="L147" s="35" t="n">
        <x:f>ROUND(K147*IF(F147="Electronics",18%,IF(F147="Office Supplies",22%,IF(F147="Furniture",15%,25%))),0)</x:f>
        <x:v>683</x:v>
      </x:c>
      <x:c r="M147" s="14" t="str">
        <x:v>Net Banking</x:v>
      </x:c>
      <x:c r="N147" s="15" t="str">
        <x:v>Corporate</x:v>
      </x:c>
    </x:row>
    <x:row r="148">
      <x:c r="A148" s="13" t="str">
        <x:v>ORD-0147</x:v>
      </x:c>
      <x:c r="B148" s="29" t="n">
        <x:v>45704</x:v>
      </x:c>
      <x:c r="C148" s="14" t="str">
        <x:f>TEXT(B148,"mmm-yyyy")</x:f>
        <x:v>Feb-2025</x:v>
      </x:c>
      <x:c r="D148" s="14" t="str">
        <x:v>Delhi</x:v>
      </x:c>
      <x:c r="E148" s="14" t="str">
        <x:v>North</x:v>
      </x:c>
      <x:c r="F148" s="14" t="str">
        <x:v>Electronics</x:v>
      </x:c>
      <x:c r="G148" s="14" t="str">
        <x:v>Laptop Stand</x:v>
      </x:c>
      <x:c r="H148" s="47" t="n">
        <x:v>2</x:v>
      </x:c>
      <x:c r="I148" s="35" t="n">
        <x:v>1221</x:v>
      </x:c>
      <x:c r="J148" s="41" t="n">
        <x:v>0</x:v>
      </x:c>
      <x:c r="K148" s="35" t="n">
        <x:f>ROUND(H148*I148*(1-J148),0)</x:f>
        <x:v>2442</x:v>
      </x:c>
      <x:c r="L148" s="35" t="n">
        <x:f>ROUND(K148*IF(F148="Electronics",18%,IF(F148="Office Supplies",22%,IF(F148="Furniture",15%,25%))),0)</x:f>
        <x:v>440</x:v>
      </x:c>
      <x:c r="M148" s="14" t="str">
        <x:v>Debit Card</x:v>
      </x:c>
      <x:c r="N148" s="15" t="str">
        <x:v>Home Office</x:v>
      </x:c>
    </x:row>
    <x:row r="149">
      <x:c r="A149" s="13" t="str">
        <x:v>ORD-0148</x:v>
      </x:c>
      <x:c r="B149" s="29" t="n">
        <x:v>45853</x:v>
      </x:c>
      <x:c r="C149" s="14" t="str">
        <x:f>TEXT(B149,"mmm-yyyy")</x:f>
        <x:v>Jul-2025</x:v>
      </x:c>
      <x:c r="D149" s="14" t="str">
        <x:v>Chennai</x:v>
      </x:c>
      <x:c r="E149" s="14" t="str">
        <x:v>South</x:v>
      </x:c>
      <x:c r="F149" s="14" t="str">
        <x:v>Electronics</x:v>
      </x:c>
      <x:c r="G149" s="14" t="str">
        <x:v>Wireless Mouse</x:v>
      </x:c>
      <x:c r="H149" s="47" t="n">
        <x:v>4</x:v>
      </x:c>
      <x:c r="I149" s="35" t="n">
        <x:v>795</x:v>
      </x:c>
      <x:c r="J149" s="41" t="n">
        <x:v>0.05</x:v>
      </x:c>
      <x:c r="K149" s="35" t="n">
        <x:f>ROUND(H149*I149*(1-J149),0)</x:f>
        <x:v>3021</x:v>
      </x:c>
      <x:c r="L149" s="35" t="n">
        <x:f>ROUND(K149*IF(F149="Electronics",18%,IF(F149="Office Supplies",22%,IF(F149="Furniture",15%,25%))),0)</x:f>
        <x:v>544</x:v>
      </x:c>
      <x:c r="M149" s="14" t="str">
        <x:v>Net Banking</x:v>
      </x:c>
      <x:c r="N149" s="15" t="str">
        <x:v>Corporate</x:v>
      </x:c>
    </x:row>
    <x:row r="150">
      <x:c r="A150" s="13" t="str">
        <x:v>ORD-0149</x:v>
      </x:c>
      <x:c r="B150" s="29" t="n">
        <x:v>45970</x:v>
      </x:c>
      <x:c r="C150" s="14" t="str">
        <x:f>TEXT(B150,"mmm-yyyy")</x:f>
        <x:v>Nov-2025</x:v>
      </x:c>
      <x:c r="D150" s="14" t="str">
        <x:v>Hyderabad</x:v>
      </x:c>
      <x:c r="E150" s="14" t="str">
        <x:v>South</x:v>
      </x:c>
      <x:c r="F150" s="14" t="str">
        <x:v>Furniture</x:v>
      </x:c>
      <x:c r="G150" s="14" t="str">
        <x:v>Bookshelf</x:v>
      </x:c>
      <x:c r="H150" s="47" t="n">
        <x:v>1</x:v>
      </x:c>
      <x:c r="I150" s="35" t="n">
        <x:v>3680</x:v>
      </x:c>
      <x:c r="J150" s="41" t="n">
        <x:v>0.15</x:v>
      </x:c>
      <x:c r="K150" s="35" t="n">
        <x:f>ROUND(H150*I150*(1-J150),0)</x:f>
        <x:v>3128</x:v>
      </x:c>
      <x:c r="L150" s="35" t="n">
        <x:f>ROUND(K150*IF(F150="Electronics",18%,IF(F150="Office Supplies",22%,IF(F150="Furniture",15%,25%))),0)</x:f>
        <x:v>469</x:v>
      </x:c>
      <x:c r="M150" s="14" t="str">
        <x:v>Debit Card</x:v>
      </x:c>
      <x:c r="N150" s="15" t="str">
        <x:v>Home Office</x:v>
      </x:c>
    </x:row>
    <x:row r="151">
      <x:c r="A151" s="13" t="str">
        <x:v>ORD-0150</x:v>
      </x:c>
      <x:c r="B151" s="29" t="n">
        <x:v>45867</x:v>
      </x:c>
      <x:c r="C151" s="14" t="str">
        <x:f>TEXT(B151,"mmm-yyyy")</x:f>
        <x:v>Jul-2025</x:v>
      </x:c>
      <x:c r="D151" s="14" t="str">
        <x:v>Pune</x:v>
      </x:c>
      <x:c r="E151" s="14" t="str">
        <x:v>West</x:v>
      </x:c>
      <x:c r="F151" s="14" t="str">
        <x:v>Electronics</x:v>
      </x:c>
      <x:c r="G151" s="14" t="str">
        <x:v>Bluetooth Speaker</x:v>
      </x:c>
      <x:c r="H151" s="47" t="n">
        <x:v>1</x:v>
      </x:c>
      <x:c r="I151" s="35" t="n">
        <x:v>1388</x:v>
      </x:c>
      <x:c r="J151" s="41" t="n">
        <x:v>0.2</x:v>
      </x:c>
      <x:c r="K151" s="35" t="n">
        <x:f>ROUND(H151*I151*(1-J151),0)</x:f>
        <x:v>1110</x:v>
      </x:c>
      <x:c r="L151" s="35" t="n">
        <x:f>ROUND(K151*IF(F151="Electronics",18%,IF(F151="Office Supplies",22%,IF(F151="Furniture",15%,25%))),0)</x:f>
        <x:v>200</x:v>
      </x:c>
      <x:c r="M151" s="14" t="str">
        <x:v>UPI</x:v>
      </x:c>
      <x:c r="N151" s="15" t="str">
        <x:v>Consumer</x:v>
      </x:c>
    </x:row>
    <x:row r="152">
      <x:c r="A152" s="13" t="str">
        <x:v>ORD-0151</x:v>
      </x:c>
      <x:c r="B152" s="29" t="n">
        <x:v>45778</x:v>
      </x:c>
      <x:c r="C152" s="14" t="str">
        <x:f>TEXT(B152,"mmm-yyyy")</x:f>
        <x:v>May-2025</x:v>
      </x:c>
      <x:c r="D152" s="14" t="str">
        <x:v>Kolkata</x:v>
      </x:c>
      <x:c r="E152" s="14" t="str">
        <x:v>East</x:v>
      </x:c>
      <x:c r="F152" s="14" t="str">
        <x:v>Electronics</x:v>
      </x:c>
      <x:c r="G152" s="14" t="str">
        <x:v>Bluetooth Speaker</x:v>
      </x:c>
      <x:c r="H152" s="47" t="n">
        <x:v>2</x:v>
      </x:c>
      <x:c r="I152" s="35" t="n">
        <x:v>1468</x:v>
      </x:c>
      <x:c r="J152" s="41" t="n">
        <x:v>0.15</x:v>
      </x:c>
      <x:c r="K152" s="35" t="n">
        <x:f>ROUND(H152*I152*(1-J152),0)</x:f>
        <x:v>2496</x:v>
      </x:c>
      <x:c r="L152" s="35" t="n">
        <x:f>ROUND(K152*IF(F152="Electronics",18%,IF(F152="Office Supplies",22%,IF(F152="Furniture",15%,25%))),0)</x:f>
        <x:v>449</x:v>
      </x:c>
      <x:c r="M152" s="14" t="str">
        <x:v>Net Banking</x:v>
      </x:c>
      <x:c r="N152" s="15" t="str">
        <x:v>Corporate</x:v>
      </x:c>
    </x:row>
    <x:row r="153">
      <x:c r="A153" s="13" t="str">
        <x:v>ORD-0152</x:v>
      </x:c>
      <x:c r="B153" s="29" t="n">
        <x:v>45958</x:v>
      </x:c>
      <x:c r="C153" s="14" t="str">
        <x:f>TEXT(B153,"mmm-yyyy")</x:f>
        <x:v>Oct-2025</x:v>
      </x:c>
      <x:c r="D153" s="14" t="str">
        <x:v>Mumbai</x:v>
      </x:c>
      <x:c r="E153" s="14" t="str">
        <x:v>West</x:v>
      </x:c>
      <x:c r="F153" s="14" t="str">
        <x:v>Accessories</x:v>
      </x:c>
      <x:c r="G153" s="14" t="str">
        <x:v>Desk Lamp</x:v>
      </x:c>
      <x:c r="H153" s="47" t="n">
        <x:v>2</x:v>
      </x:c>
      <x:c r="I153" s="35" t="n">
        <x:v>841</x:v>
      </x:c>
      <x:c r="J153" s="41" t="n">
        <x:v>0.05</x:v>
      </x:c>
      <x:c r="K153" s="35" t="n">
        <x:f>ROUND(H153*I153*(1-J153),0)</x:f>
        <x:v>1598</x:v>
      </x:c>
      <x:c r="L153" s="35" t="n">
        <x:f>ROUND(K153*IF(F153="Electronics",18%,IF(F153="Office Supplies",22%,IF(F153="Furniture",15%,25%))),0)</x:f>
        <x:v>400</x:v>
      </x:c>
      <x:c r="M153" s="14" t="str">
        <x:v>Cash</x:v>
      </x:c>
      <x:c r="N153" s="15" t="str">
        <x:v>Corporate</x:v>
      </x:c>
    </x:row>
    <x:row r="154">
      <x:c r="A154" s="13" t="str">
        <x:v>ORD-0153</x:v>
      </x:c>
      <x:c r="B154" s="29" t="n">
        <x:v>45674</x:v>
      </x:c>
      <x:c r="C154" s="14" t="str">
        <x:f>TEXT(B154,"mmm-yyyy")</x:f>
        <x:v>Jan-2025</x:v>
      </x:c>
      <x:c r="D154" s="14" t="str">
        <x:v>Chennai</x:v>
      </x:c>
      <x:c r="E154" s="14" t="str">
        <x:v>South</x:v>
      </x:c>
      <x:c r="F154" s="14" t="str">
        <x:v>Electronics</x:v>
      </x:c>
      <x:c r="G154" s="14" t="str">
        <x:v>USB-C Cable</x:v>
      </x:c>
      <x:c r="H154" s="47" t="n">
        <x:v>2</x:v>
      </x:c>
      <x:c r="I154" s="35" t="n">
        <x:v>321</x:v>
      </x:c>
      <x:c r="J154" s="41" t="n">
        <x:v>0.15</x:v>
      </x:c>
      <x:c r="K154" s="35" t="n">
        <x:f>ROUND(H154*I154*(1-J154),0)</x:f>
        <x:v>546</x:v>
      </x:c>
      <x:c r="L154" s="35" t="n">
        <x:f>ROUND(K154*IF(F154="Electronics",18%,IF(F154="Office Supplies",22%,IF(F154="Furniture",15%,25%))),0)</x:f>
        <x:v>98</x:v>
      </x:c>
      <x:c r="M154" s="14" t="str">
        <x:v>UPI</x:v>
      </x:c>
      <x:c r="N154" s="15" t="str">
        <x:v>Home Office</x:v>
      </x:c>
    </x:row>
    <x:row r="155">
      <x:c r="A155" s="13" t="str">
        <x:v>ORD-0154</x:v>
      </x:c>
      <x:c r="B155" s="29" t="n">
        <x:v>45846</x:v>
      </x:c>
      <x:c r="C155" s="14" t="str">
        <x:f>TEXT(B155,"mmm-yyyy")</x:f>
        <x:v>Jul-2025</x:v>
      </x:c>
      <x:c r="D155" s="14" t="str">
        <x:v>Kolkata</x:v>
      </x:c>
      <x:c r="E155" s="14" t="str">
        <x:v>East</x:v>
      </x:c>
      <x:c r="F155" s="14" t="str">
        <x:v>Accessories</x:v>
      </x:c>
      <x:c r="G155" s="14" t="str">
        <x:v>Desk Lamp</x:v>
      </x:c>
      <x:c r="H155" s="47" t="n">
        <x:v>8</x:v>
      </x:c>
      <x:c r="I155" s="35" t="n">
        <x:v>879</x:v>
      </x:c>
      <x:c r="J155" s="41" t="n">
        <x:v>0.05</x:v>
      </x:c>
      <x:c r="K155" s="35" t="n">
        <x:f>ROUND(H155*I155*(1-J155),0)</x:f>
        <x:v>6680</x:v>
      </x:c>
      <x:c r="L155" s="35" t="n">
        <x:f>ROUND(K155*IF(F155="Electronics",18%,IF(F155="Office Supplies",22%,IF(F155="Furniture",15%,25%))),0)</x:f>
        <x:v>1670</x:v>
      </x:c>
      <x:c r="M155" s="14" t="str">
        <x:v>Credit Card</x:v>
      </x:c>
      <x:c r="N155" s="15" t="str">
        <x:v>Consumer</x:v>
      </x:c>
    </x:row>
    <x:row r="156">
      <x:c r="A156" s="13" t="str">
        <x:v>ORD-0155</x:v>
      </x:c>
      <x:c r="B156" s="29" t="n">
        <x:v>45890</x:v>
      </x:c>
      <x:c r="C156" s="14" t="str">
        <x:f>TEXT(B156,"mmm-yyyy")</x:f>
        <x:v>Aug-2025</x:v>
      </x:c>
      <x:c r="D156" s="14" t="str">
        <x:v>Pune</x:v>
      </x:c>
      <x:c r="E156" s="14" t="str">
        <x:v>West</x:v>
      </x:c>
      <x:c r="F156" s="14" t="str">
        <x:v>Furniture</x:v>
      </x:c>
      <x:c r="G156" s="14" t="str">
        <x:v>Bookshelf</x:v>
      </x:c>
      <x:c r="H156" s="47" t="n">
        <x:v>1</x:v>
      </x:c>
      <x:c r="I156" s="35" t="n">
        <x:v>3577</x:v>
      </x:c>
      <x:c r="J156" s="41" t="n">
        <x:v>0.2</x:v>
      </x:c>
      <x:c r="K156" s="35" t="n">
        <x:f>ROUND(H156*I156*(1-J156),0)</x:f>
        <x:v>2862</x:v>
      </x:c>
      <x:c r="L156" s="35" t="n">
        <x:f>ROUND(K156*IF(F156="Electronics",18%,IF(F156="Office Supplies",22%,IF(F156="Furniture",15%,25%))),0)</x:f>
        <x:v>429</x:v>
      </x:c>
      <x:c r="M156" s="14" t="str">
        <x:v>UPI</x:v>
      </x:c>
      <x:c r="N156" s="15" t="str">
        <x:v>Corporate</x:v>
      </x:c>
    </x:row>
    <x:row r="157">
      <x:c r="A157" s="13" t="str">
        <x:v>ORD-0156</x:v>
      </x:c>
      <x:c r="B157" s="29" t="n">
        <x:v>45782</x:v>
      </x:c>
      <x:c r="C157" s="14" t="str">
        <x:f>TEXT(B157,"mmm-yyyy")</x:f>
        <x:v>May-2025</x:v>
      </x:c>
      <x:c r="D157" s="14" t="str">
        <x:v>Mumbai</x:v>
      </x:c>
      <x:c r="E157" s="14" t="str">
        <x:v>West</x:v>
      </x:c>
      <x:c r="F157" s="14" t="str">
        <x:v>Accessories</x:v>
      </x:c>
      <x:c r="G157" s="14" t="str">
        <x:v>Water Bottle</x:v>
      </x:c>
      <x:c r="H157" s="47" t="n">
        <x:v>3</x:v>
      </x:c>
      <x:c r="I157" s="35" t="n">
        <x:v>325</x:v>
      </x:c>
      <x:c r="J157" s="41" t="n">
        <x:v>0.1</x:v>
      </x:c>
      <x:c r="K157" s="35" t="n">
        <x:f>ROUND(H157*I157*(1-J157),0)</x:f>
        <x:v>878</x:v>
      </x:c>
      <x:c r="L157" s="35" t="n">
        <x:f>ROUND(K157*IF(F157="Electronics",18%,IF(F157="Office Supplies",22%,IF(F157="Furniture",15%,25%))),0)</x:f>
        <x:v>220</x:v>
      </x:c>
      <x:c r="M157" s="14" t="str">
        <x:v>Credit Card</x:v>
      </x:c>
      <x:c r="N157" s="15" t="str">
        <x:v>Home Office</x:v>
      </x:c>
    </x:row>
    <x:row r="158">
      <x:c r="A158" s="13" t="str">
        <x:v>ORD-0157</x:v>
      </x:c>
      <x:c r="B158" s="29" t="n">
        <x:v>45768</x:v>
      </x:c>
      <x:c r="C158" s="14" t="str">
        <x:f>TEXT(B158,"mmm-yyyy")</x:f>
        <x:v>Apr-2025</x:v>
      </x:c>
      <x:c r="D158" s="14" t="str">
        <x:v>Hyderabad</x:v>
      </x:c>
      <x:c r="E158" s="14" t="str">
        <x:v>South</x:v>
      </x:c>
      <x:c r="F158" s="14" t="str">
        <x:v>Office Supplies</x:v>
      </x:c>
      <x:c r="G158" s="14" t="str">
        <x:v>Desk Organizer</x:v>
      </x:c>
      <x:c r="H158" s="47" t="n">
        <x:v>4</x:v>
      </x:c>
      <x:c r="I158" s="35" t="n">
        <x:v>731</x:v>
      </x:c>
      <x:c r="J158" s="41" t="n">
        <x:v>0.05</x:v>
      </x:c>
      <x:c r="K158" s="35" t="n">
        <x:f>ROUND(H158*I158*(1-J158),0)</x:f>
        <x:v>2778</x:v>
      </x:c>
      <x:c r="L158" s="35" t="n">
        <x:f>ROUND(K158*IF(F158="Electronics",18%,IF(F158="Office Supplies",22%,IF(F158="Furniture",15%,25%))),0)</x:f>
        <x:v>611</x:v>
      </x:c>
      <x:c r="M158" s="14" t="str">
        <x:v>Debit Card</x:v>
      </x:c>
      <x:c r="N158" s="15" t="str">
        <x:v>Consumer</x:v>
      </x:c>
    </x:row>
    <x:row r="159">
      <x:c r="A159" s="13" t="str">
        <x:v>ORD-0158</x:v>
      </x:c>
      <x:c r="B159" s="29" t="n">
        <x:v>45724</x:v>
      </x:c>
      <x:c r="C159" s="14" t="str">
        <x:f>TEXT(B159,"mmm-yyyy")</x:f>
        <x:v>Mar-2025</x:v>
      </x:c>
      <x:c r="D159" s="14" t="str">
        <x:v>Kolkata</x:v>
      </x:c>
      <x:c r="E159" s="14" t="str">
        <x:v>East</x:v>
      </x:c>
      <x:c r="F159" s="14" t="str">
        <x:v>Office Supplies</x:v>
      </x:c>
      <x:c r="G159" s="14" t="str">
        <x:v>Notebook Pack</x:v>
      </x:c>
      <x:c r="H159" s="47" t="n">
        <x:v>5</x:v>
      </x:c>
      <x:c r="I159" s="35" t="n">
        <x:v>233</x:v>
      </x:c>
      <x:c r="J159" s="41" t="n">
        <x:v>0.15</x:v>
      </x:c>
      <x:c r="K159" s="35" t="n">
        <x:f>ROUND(H159*I159*(1-J159),0)</x:f>
        <x:v>990</x:v>
      </x:c>
      <x:c r="L159" s="35" t="n">
        <x:f>ROUND(K159*IF(F159="Electronics",18%,IF(F159="Office Supplies",22%,IF(F159="Furniture",15%,25%))),0)</x:f>
        <x:v>218</x:v>
      </x:c>
      <x:c r="M159" s="14" t="str">
        <x:v>Credit Card</x:v>
      </x:c>
      <x:c r="N159" s="15" t="str">
        <x:v>Consumer</x:v>
      </x:c>
    </x:row>
    <x:row r="160">
      <x:c r="A160" s="13" t="str">
        <x:v>ORD-0159</x:v>
      </x:c>
      <x:c r="B160" s="29" t="n">
        <x:v>45841</x:v>
      </x:c>
      <x:c r="C160" s="14" t="str">
        <x:f>TEXT(B160,"mmm-yyyy")</x:f>
        <x:v>Jul-2025</x:v>
      </x:c>
      <x:c r="D160" s="14" t="str">
        <x:v>Hyderabad</x:v>
      </x:c>
      <x:c r="E160" s="14" t="str">
        <x:v>South</x:v>
      </x:c>
      <x:c r="F160" s="14" t="str">
        <x:v>Furniture</x:v>
      </x:c>
      <x:c r="G160" s="14" t="str">
        <x:v>Study Table</x:v>
      </x:c>
      <x:c r="H160" s="47" t="n">
        <x:v>2</x:v>
      </x:c>
      <x:c r="I160" s="35" t="n">
        <x:v>6634</x:v>
      </x:c>
      <x:c r="J160" s="41" t="n">
        <x:v>0</x:v>
      </x:c>
      <x:c r="K160" s="35" t="n">
        <x:f>ROUND(H160*I160*(1-J160),0)</x:f>
        <x:v>13268</x:v>
      </x:c>
      <x:c r="L160" s="35" t="n">
        <x:f>ROUND(K160*IF(F160="Electronics",18%,IF(F160="Office Supplies",22%,IF(F160="Furniture",15%,25%))),0)</x:f>
        <x:v>1990</x:v>
      </x:c>
      <x:c r="M160" s="14" t="str">
        <x:v>Cash</x:v>
      </x:c>
      <x:c r="N160" s="15" t="str">
        <x:v>Home Office</x:v>
      </x:c>
    </x:row>
    <x:row r="161">
      <x:c r="A161" s="13" t="str">
        <x:v>ORD-0160</x:v>
      </x:c>
      <x:c r="B161" s="29" t="n">
        <x:v>45716</x:v>
      </x:c>
      <x:c r="C161" s="14" t="str">
        <x:f>TEXT(B161,"mmm-yyyy")</x:f>
        <x:v>Feb-2025</x:v>
      </x:c>
      <x:c r="D161" s="14" t="str">
        <x:v>Pune</x:v>
      </x:c>
      <x:c r="E161" s="14" t="str">
        <x:v>West</x:v>
      </x:c>
      <x:c r="F161" s="14" t="str">
        <x:v>Office Supplies</x:v>
      </x:c>
      <x:c r="G161" s="14" t="str">
        <x:v>Printer Paper</x:v>
      </x:c>
      <x:c r="H161" s="47" t="n">
        <x:v>2</x:v>
      </x:c>
      <x:c r="I161" s="35" t="n">
        <x:v>390</x:v>
      </x:c>
      <x:c r="J161" s="41" t="n">
        <x:v>0.05</x:v>
      </x:c>
      <x:c r="K161" s="35" t="n">
        <x:f>ROUND(H161*I161*(1-J161),0)</x:f>
        <x:v>741</x:v>
      </x:c>
      <x:c r="L161" s="35" t="n">
        <x:f>ROUND(K161*IF(F161="Electronics",18%,IF(F161="Office Supplies",22%,IF(F161="Furniture",15%,25%))),0)</x:f>
        <x:v>163</x:v>
      </x:c>
      <x:c r="M161" s="14" t="str">
        <x:v>Cash</x:v>
      </x:c>
      <x:c r="N161" s="15" t="str">
        <x:v>Home Office</x:v>
      </x:c>
    </x:row>
    <x:row r="162">
      <x:c r="A162" s="13" t="str">
        <x:v>ORD-0161</x:v>
      </x:c>
      <x:c r="B162" s="29" t="n">
        <x:v>45771</x:v>
      </x:c>
      <x:c r="C162" s="14" t="str">
        <x:f>TEXT(B162,"mmm-yyyy")</x:f>
        <x:v>Apr-2025</x:v>
      </x:c>
      <x:c r="D162" s="14" t="str">
        <x:v>Bhopal</x:v>
      </x:c>
      <x:c r="E162" s="14" t="str">
        <x:v>Central</x:v>
      </x:c>
      <x:c r="F162" s="14" t="str">
        <x:v>Electronics</x:v>
      </x:c>
      <x:c r="G162" s="14" t="str">
        <x:v>Laptop Stand</x:v>
      </x:c>
      <x:c r="H162" s="47" t="n">
        <x:v>4</x:v>
      </x:c>
      <x:c r="I162" s="35" t="n">
        <x:v>1384</x:v>
      </x:c>
      <x:c r="J162" s="41" t="n">
        <x:v>0.1</x:v>
      </x:c>
      <x:c r="K162" s="35" t="n">
        <x:f>ROUND(H162*I162*(1-J162),0)</x:f>
        <x:v>4982</x:v>
      </x:c>
      <x:c r="L162" s="35" t="n">
        <x:f>ROUND(K162*IF(F162="Electronics",18%,IF(F162="Office Supplies",22%,IF(F162="Furniture",15%,25%))),0)</x:f>
        <x:v>897</x:v>
      </x:c>
      <x:c r="M162" s="14" t="str">
        <x:v>Debit Card</x:v>
      </x:c>
      <x:c r="N162" s="15" t="str">
        <x:v>Corporate</x:v>
      </x:c>
    </x:row>
    <x:row r="163">
      <x:c r="A163" s="13" t="str">
        <x:v>ORD-0162</x:v>
      </x:c>
      <x:c r="B163" s="29" t="n">
        <x:v>45987</x:v>
      </x:c>
      <x:c r="C163" s="14" t="str">
        <x:f>TEXT(B163,"mmm-yyyy")</x:f>
        <x:v>Nov-2025</x:v>
      </x:c>
      <x:c r="D163" s="14" t="str">
        <x:v>Nagpur</x:v>
      </x:c>
      <x:c r="E163" s="14" t="str">
        <x:v>West</x:v>
      </x:c>
      <x:c r="F163" s="14" t="str">
        <x:v>Electronics</x:v>
      </x:c>
      <x:c r="G163" s="14" t="str">
        <x:v>Laptop Stand</x:v>
      </x:c>
      <x:c r="H163" s="47" t="n">
        <x:v>8</x:v>
      </x:c>
      <x:c r="I163" s="35" t="n">
        <x:v>1371</x:v>
      </x:c>
      <x:c r="J163" s="41" t="n">
        <x:v>0.05</x:v>
      </x:c>
      <x:c r="K163" s="35" t="n">
        <x:f>ROUND(H163*I163*(1-J163),0)</x:f>
        <x:v>10420</x:v>
      </x:c>
      <x:c r="L163" s="35" t="n">
        <x:f>ROUND(K163*IF(F163="Electronics",18%,IF(F163="Office Supplies",22%,IF(F163="Furniture",15%,25%))),0)</x:f>
        <x:v>1876</x:v>
      </x:c>
      <x:c r="M163" s="14" t="str">
        <x:v>UPI</x:v>
      </x:c>
      <x:c r="N163" s="15" t="str">
        <x:v>Corporate</x:v>
      </x:c>
    </x:row>
    <x:row r="164">
      <x:c r="A164" s="13" t="str">
        <x:v>ORD-0163</x:v>
      </x:c>
      <x:c r="B164" s="29" t="n">
        <x:v>46022</x:v>
      </x:c>
      <x:c r="C164" s="14" t="str">
        <x:f>TEXT(B164,"mmm-yyyy")</x:f>
        <x:v>Dec-2025</x:v>
      </x:c>
      <x:c r="D164" s="14" t="str">
        <x:v>Jaipur</x:v>
      </x:c>
      <x:c r="E164" s="14" t="str">
        <x:v>North</x:v>
      </x:c>
      <x:c r="F164" s="14" t="str">
        <x:v>Electronics</x:v>
      </x:c>
      <x:c r="G164" s="14" t="str">
        <x:v>Wireless Mouse</x:v>
      </x:c>
      <x:c r="H164" s="47" t="n">
        <x:v>6</x:v>
      </x:c>
      <x:c r="I164" s="35" t="n">
        <x:v>776</x:v>
      </x:c>
      <x:c r="J164" s="41" t="n">
        <x:v>0</x:v>
      </x:c>
      <x:c r="K164" s="35" t="n">
        <x:f>ROUND(H164*I164*(1-J164),0)</x:f>
        <x:v>4656</x:v>
      </x:c>
      <x:c r="L164" s="35" t="n">
        <x:f>ROUND(K164*IF(F164="Electronics",18%,IF(F164="Office Supplies",22%,IF(F164="Furniture",15%,25%))),0)</x:f>
        <x:v>838</x:v>
      </x:c>
      <x:c r="M164" s="14" t="str">
        <x:v>Credit Card</x:v>
      </x:c>
      <x:c r="N164" s="15" t="str">
        <x:v>Corporate</x:v>
      </x:c>
    </x:row>
    <x:row r="165">
      <x:c r="A165" s="13" t="str">
        <x:v>ORD-0164</x:v>
      </x:c>
      <x:c r="B165" s="29" t="n">
        <x:v>45977</x:v>
      </x:c>
      <x:c r="C165" s="14" t="str">
        <x:f>TEXT(B165,"mmm-yyyy")</x:f>
        <x:v>Nov-2025</x:v>
      </x:c>
      <x:c r="D165" s="14" t="str">
        <x:v>Bhopal</x:v>
      </x:c>
      <x:c r="E165" s="14" t="str">
        <x:v>Central</x:v>
      </x:c>
      <x:c r="F165" s="14" t="str">
        <x:v>Furniture</x:v>
      </x:c>
      <x:c r="G165" s="14" t="str">
        <x:v>Office Chair</x:v>
      </x:c>
      <x:c r="H165" s="47" t="n">
        <x:v>4</x:v>
      </x:c>
      <x:c r="I165" s="35" t="n">
        <x:v>4904</x:v>
      </x:c>
      <x:c r="J165" s="41" t="n">
        <x:v>0.05</x:v>
      </x:c>
      <x:c r="K165" s="35" t="n">
        <x:f>ROUND(H165*I165*(1-J165),0)</x:f>
        <x:v>18635</x:v>
      </x:c>
      <x:c r="L165" s="35" t="n">
        <x:f>ROUND(K165*IF(F165="Electronics",18%,IF(F165="Office Supplies",22%,IF(F165="Furniture",15%,25%))),0)</x:f>
        <x:v>2795</x:v>
      </x:c>
      <x:c r="M165" s="14" t="str">
        <x:v>Debit Card</x:v>
      </x:c>
      <x:c r="N165" s="15" t="str">
        <x:v>Corporate</x:v>
      </x:c>
    </x:row>
    <x:row r="166">
      <x:c r="A166" s="13" t="str">
        <x:v>ORD-0165</x:v>
      </x:c>
      <x:c r="B166" s="29" t="n">
        <x:v>45916</x:v>
      </x:c>
      <x:c r="C166" s="14" t="str">
        <x:f>TEXT(B166,"mmm-yyyy")</x:f>
        <x:v>Sep-2025</x:v>
      </x:c>
      <x:c r="D166" s="14" t="str">
        <x:v>Bhopal</x:v>
      </x:c>
      <x:c r="E166" s="14" t="str">
        <x:v>Central</x:v>
      </x:c>
      <x:c r="F166" s="14" t="str">
        <x:v>Office Supplies</x:v>
      </x:c>
      <x:c r="G166" s="14" t="str">
        <x:v>Ball Pen Set</x:v>
      </x:c>
      <x:c r="H166" s="47" t="n">
        <x:v>1</x:v>
      </x:c>
      <x:c r="I166" s="35" t="n">
        <x:v>205</x:v>
      </x:c>
      <x:c r="J166" s="41" t="n">
        <x:v>0.15</x:v>
      </x:c>
      <x:c r="K166" s="35" t="n">
        <x:f>ROUND(H166*I166*(1-J166),0)</x:f>
        <x:v>174</x:v>
      </x:c>
      <x:c r="L166" s="35" t="n">
        <x:f>ROUND(K166*IF(F166="Electronics",18%,IF(F166="Office Supplies",22%,IF(F166="Furniture",15%,25%))),0)</x:f>
        <x:v>38</x:v>
      </x:c>
      <x:c r="M166" s="14" t="str">
        <x:v>Net Banking</x:v>
      </x:c>
      <x:c r="N166" s="15" t="str">
        <x:v>Home Office</x:v>
      </x:c>
    </x:row>
    <x:row r="167">
      <x:c r="A167" s="13" t="str">
        <x:v>ORD-0166</x:v>
      </x:c>
      <x:c r="B167" s="29" t="n">
        <x:v>45768</x:v>
      </x:c>
      <x:c r="C167" s="14" t="str">
        <x:f>TEXT(B167,"mmm-yyyy")</x:f>
        <x:v>Apr-2025</x:v>
      </x:c>
      <x:c r="D167" s="14" t="str">
        <x:v>Delhi</x:v>
      </x:c>
      <x:c r="E167" s="14" t="str">
        <x:v>North</x:v>
      </x:c>
      <x:c r="F167" s="14" t="str">
        <x:v>Office Supplies</x:v>
      </x:c>
      <x:c r="G167" s="14" t="str">
        <x:v>Printer Paper</x:v>
      </x:c>
      <x:c r="H167" s="47" t="n">
        <x:v>6</x:v>
      </x:c>
      <x:c r="I167" s="35" t="n">
        <x:v>393</x:v>
      </x:c>
      <x:c r="J167" s="41" t="n">
        <x:v>0.1</x:v>
      </x:c>
      <x:c r="K167" s="35" t="n">
        <x:f>ROUND(H167*I167*(1-J167),0)</x:f>
        <x:v>2122</x:v>
      </x:c>
      <x:c r="L167" s="35" t="n">
        <x:f>ROUND(K167*IF(F167="Electronics",18%,IF(F167="Office Supplies",22%,IF(F167="Furniture",15%,25%))),0)</x:f>
        <x:v>467</x:v>
      </x:c>
      <x:c r="M167" s="14" t="str">
        <x:v>Cash</x:v>
      </x:c>
      <x:c r="N167" s="15" t="str">
        <x:v>Corporate</x:v>
      </x:c>
    </x:row>
    <x:row r="168">
      <x:c r="A168" s="13" t="str">
        <x:v>ORD-0167</x:v>
      </x:c>
      <x:c r="B168" s="29" t="n">
        <x:v>45706</x:v>
      </x:c>
      <x:c r="C168" s="14" t="str">
        <x:f>TEXT(B168,"mmm-yyyy")</x:f>
        <x:v>Feb-2025</x:v>
      </x:c>
      <x:c r="D168" s="14" t="str">
        <x:v>Chennai</x:v>
      </x:c>
      <x:c r="E168" s="14" t="str">
        <x:v>South</x:v>
      </x:c>
      <x:c r="F168" s="14" t="str">
        <x:v>Office Supplies</x:v>
      </x:c>
      <x:c r="G168" s="14" t="str">
        <x:v>Ball Pen Set</x:v>
      </x:c>
      <x:c r="H168" s="47" t="n">
        <x:v>2</x:v>
      </x:c>
      <x:c r="I168" s="35" t="n">
        <x:v>191</x:v>
      </x:c>
      <x:c r="J168" s="41" t="n">
        <x:v>0.15</x:v>
      </x:c>
      <x:c r="K168" s="35" t="n">
        <x:f>ROUND(H168*I168*(1-J168),0)</x:f>
        <x:v>325</x:v>
      </x:c>
      <x:c r="L168" s="35" t="n">
        <x:f>ROUND(K168*IF(F168="Electronics",18%,IF(F168="Office Supplies",22%,IF(F168="Furniture",15%,25%))),0)</x:f>
        <x:v>72</x:v>
      </x:c>
      <x:c r="M168" s="14" t="str">
        <x:v>Cash</x:v>
      </x:c>
      <x:c r="N168" s="15" t="str">
        <x:v>Consumer</x:v>
      </x:c>
    </x:row>
    <x:row r="169">
      <x:c r="A169" s="13" t="str">
        <x:v>ORD-0168</x:v>
      </x:c>
      <x:c r="B169" s="29" t="n">
        <x:v>45704</x:v>
      </x:c>
      <x:c r="C169" s="14" t="str">
        <x:f>TEXT(B169,"mmm-yyyy")</x:f>
        <x:v>Feb-2025</x:v>
      </x:c>
      <x:c r="D169" s="14" t="str">
        <x:v>Pune</x:v>
      </x:c>
      <x:c r="E169" s="14" t="str">
        <x:v>West</x:v>
      </x:c>
      <x:c r="F169" s="14" t="str">
        <x:v>Electronics</x:v>
      </x:c>
      <x:c r="G169" s="14" t="str">
        <x:v>Wireless Mouse</x:v>
      </x:c>
      <x:c r="H169" s="47" t="n">
        <x:v>2</x:v>
      </x:c>
      <x:c r="I169" s="35" t="n">
        <x:v>830</x:v>
      </x:c>
      <x:c r="J169" s="41" t="n">
        <x:v>0</x:v>
      </x:c>
      <x:c r="K169" s="35" t="n">
        <x:f>ROUND(H169*I169*(1-J169),0)</x:f>
        <x:v>1660</x:v>
      </x:c>
      <x:c r="L169" s="35" t="n">
        <x:f>ROUND(K169*IF(F169="Electronics",18%,IF(F169="Office Supplies",22%,IF(F169="Furniture",15%,25%))),0)</x:f>
        <x:v>299</x:v>
      </x:c>
      <x:c r="M169" s="14" t="str">
        <x:v>Credit Card</x:v>
      </x:c>
      <x:c r="N169" s="15" t="str">
        <x:v>Home Office</x:v>
      </x:c>
    </x:row>
    <x:row r="170">
      <x:c r="A170" s="13" t="str">
        <x:v>ORD-0169</x:v>
      </x:c>
      <x:c r="B170" s="29" t="n">
        <x:v>45688</x:v>
      </x:c>
      <x:c r="C170" s="14" t="str">
        <x:f>TEXT(B170,"mmm-yyyy")</x:f>
        <x:v>Jan-2025</x:v>
      </x:c>
      <x:c r="D170" s="14" t="str">
        <x:v>Bhopal</x:v>
      </x:c>
      <x:c r="E170" s="14" t="str">
        <x:v>Central</x:v>
      </x:c>
      <x:c r="F170" s="14" t="str">
        <x:v>Furniture</x:v>
      </x:c>
      <x:c r="G170" s="14" t="str">
        <x:v>Office Chair</x:v>
      </x:c>
      <x:c r="H170" s="47" t="n">
        <x:v>3</x:v>
      </x:c>
      <x:c r="I170" s="35" t="n">
        <x:v>5135</x:v>
      </x:c>
      <x:c r="J170" s="41" t="n">
        <x:v>0.05</x:v>
      </x:c>
      <x:c r="K170" s="35" t="n">
        <x:f>ROUND(H170*I170*(1-J170),0)</x:f>
        <x:v>14635</x:v>
      </x:c>
      <x:c r="L170" s="35" t="n">
        <x:f>ROUND(K170*IF(F170="Electronics",18%,IF(F170="Office Supplies",22%,IF(F170="Furniture",15%,25%))),0)</x:f>
        <x:v>2195</x:v>
      </x:c>
      <x:c r="M170" s="14" t="str">
        <x:v>Cash</x:v>
      </x:c>
      <x:c r="N170" s="15" t="str">
        <x:v>Home Office</x:v>
      </x:c>
    </x:row>
    <x:row r="171">
      <x:c r="A171" s="13" t="str">
        <x:v>ORD-0170</x:v>
      </x:c>
      <x:c r="B171" s="29" t="n">
        <x:v>45684</x:v>
      </x:c>
      <x:c r="C171" s="14" t="str">
        <x:f>TEXT(B171,"mmm-yyyy")</x:f>
        <x:v>Jan-2025</x:v>
      </x:c>
      <x:c r="D171" s="14" t="str">
        <x:v>Bengaluru</x:v>
      </x:c>
      <x:c r="E171" s="14" t="str">
        <x:v>South</x:v>
      </x:c>
      <x:c r="F171" s="14" t="str">
        <x:v>Furniture</x:v>
      </x:c>
      <x:c r="G171" s="14" t="str">
        <x:v>Study Table</x:v>
      </x:c>
      <x:c r="H171" s="47" t="n">
        <x:v>2</x:v>
      </x:c>
      <x:c r="I171" s="35" t="n">
        <x:v>6555</x:v>
      </x:c>
      <x:c r="J171" s="41" t="n">
        <x:v>0.05</x:v>
      </x:c>
      <x:c r="K171" s="35" t="n">
        <x:f>ROUND(H171*I171*(1-J171),0)</x:f>
        <x:v>12455</x:v>
      </x:c>
      <x:c r="L171" s="35" t="n">
        <x:f>ROUND(K171*IF(F171="Electronics",18%,IF(F171="Office Supplies",22%,IF(F171="Furniture",15%,25%))),0)</x:f>
        <x:v>1868</x:v>
      </x:c>
      <x:c r="M171" s="14" t="str">
        <x:v>Credit Card</x:v>
      </x:c>
      <x:c r="N171" s="15" t="str">
        <x:v>Home Office</x:v>
      </x:c>
    </x:row>
    <x:row r="172">
      <x:c r="A172" s="13" t="str">
        <x:v>ORD-0171</x:v>
      </x:c>
      <x:c r="B172" s="29" t="n">
        <x:v>45904</x:v>
      </x:c>
      <x:c r="C172" s="14" t="str">
        <x:f>TEXT(B172,"mmm-yyyy")</x:f>
        <x:v>Sep-2025</x:v>
      </x:c>
      <x:c r="D172" s="14" t="str">
        <x:v>Hyderabad</x:v>
      </x:c>
      <x:c r="E172" s="14" t="str">
        <x:v>South</x:v>
      </x:c>
      <x:c r="F172" s="14" t="str">
        <x:v>Accessories</x:v>
      </x:c>
      <x:c r="G172" s="14" t="str">
        <x:v>Laptop Sleeve</x:v>
      </x:c>
      <x:c r="H172" s="47" t="n">
        <x:v>1</x:v>
      </x:c>
      <x:c r="I172" s="35" t="n">
        <x:v>738</x:v>
      </x:c>
      <x:c r="J172" s="41" t="n">
        <x:v>0</x:v>
      </x:c>
      <x:c r="K172" s="35" t="n">
        <x:f>ROUND(H172*I172*(1-J172),0)</x:f>
        <x:v>738</x:v>
      </x:c>
      <x:c r="L172" s="35" t="n">
        <x:f>ROUND(K172*IF(F172="Electronics",18%,IF(F172="Office Supplies",22%,IF(F172="Furniture",15%,25%))),0)</x:f>
        <x:v>185</x:v>
      </x:c>
      <x:c r="M172" s="14" t="str">
        <x:v>Debit Card</x:v>
      </x:c>
      <x:c r="N172" s="15" t="str">
        <x:v>Home Office</x:v>
      </x:c>
    </x:row>
    <x:row r="173">
      <x:c r="A173" s="13" t="str">
        <x:v>ORD-0172</x:v>
      </x:c>
      <x:c r="B173" s="29" t="n">
        <x:v>45773</x:v>
      </x:c>
      <x:c r="C173" s="14" t="str">
        <x:f>TEXT(B173,"mmm-yyyy")</x:f>
        <x:v>Apr-2025</x:v>
      </x:c>
      <x:c r="D173" s="14" t="str">
        <x:v>Delhi</x:v>
      </x:c>
      <x:c r="E173" s="14" t="str">
        <x:v>North</x:v>
      </x:c>
      <x:c r="F173" s="14" t="str">
        <x:v>Accessories</x:v>
      </x:c>
      <x:c r="G173" s="14" t="str">
        <x:v>Laptop Sleeve</x:v>
      </x:c>
      <x:c r="H173" s="47" t="n">
        <x:v>3</x:v>
      </x:c>
      <x:c r="I173" s="35" t="n">
        <x:v>729</x:v>
      </x:c>
      <x:c r="J173" s="41" t="n">
        <x:v>0.05</x:v>
      </x:c>
      <x:c r="K173" s="35" t="n">
        <x:f>ROUND(H173*I173*(1-J173),0)</x:f>
        <x:v>2078</x:v>
      </x:c>
      <x:c r="L173" s="35" t="n">
        <x:f>ROUND(K173*IF(F173="Electronics",18%,IF(F173="Office Supplies",22%,IF(F173="Furniture",15%,25%))),0)</x:f>
        <x:v>520</x:v>
      </x:c>
      <x:c r="M173" s="14" t="str">
        <x:v>Net Banking</x:v>
      </x:c>
      <x:c r="N173" s="15" t="str">
        <x:v>Consumer</x:v>
      </x:c>
    </x:row>
    <x:row r="174">
      <x:c r="A174" s="13" t="str">
        <x:v>ORD-0173</x:v>
      </x:c>
      <x:c r="B174" s="29" t="n">
        <x:v>45969</x:v>
      </x:c>
      <x:c r="C174" s="14" t="str">
        <x:f>TEXT(B174,"mmm-yyyy")</x:f>
        <x:v>Nov-2025</x:v>
      </x:c>
      <x:c r="D174" s="14" t="str">
        <x:v>Bengaluru</x:v>
      </x:c>
      <x:c r="E174" s="14" t="str">
        <x:v>South</x:v>
      </x:c>
      <x:c r="F174" s="14" t="str">
        <x:v>Electronics</x:v>
      </x:c>
      <x:c r="G174" s="14" t="str">
        <x:v>Laptop Stand</x:v>
      </x:c>
      <x:c r="H174" s="47" t="n">
        <x:v>1</x:v>
      </x:c>
      <x:c r="I174" s="35" t="n">
        <x:v>1341</x:v>
      </x:c>
      <x:c r="J174" s="41" t="n">
        <x:v>0</x:v>
      </x:c>
      <x:c r="K174" s="35" t="n">
        <x:f>ROUND(H174*I174*(1-J174),0)</x:f>
        <x:v>1341</x:v>
      </x:c>
      <x:c r="L174" s="35" t="n">
        <x:f>ROUND(K174*IF(F174="Electronics",18%,IF(F174="Office Supplies",22%,IF(F174="Furniture",15%,25%))),0)</x:f>
        <x:v>241</x:v>
      </x:c>
      <x:c r="M174" s="14" t="str">
        <x:v>Debit Card</x:v>
      </x:c>
      <x:c r="N174" s="15" t="str">
        <x:v>Corporate</x:v>
      </x:c>
    </x:row>
    <x:row r="175">
      <x:c r="A175" s="13" t="str">
        <x:v>ORD-0174</x:v>
      </x:c>
      <x:c r="B175" s="29" t="n">
        <x:v>45661</x:v>
      </x:c>
      <x:c r="C175" s="14" t="str">
        <x:f>TEXT(B175,"mmm-yyyy")</x:f>
        <x:v>Jan-2025</x:v>
      </x:c>
      <x:c r="D175" s="14" t="str">
        <x:v>Mumbai</x:v>
      </x:c>
      <x:c r="E175" s="14" t="str">
        <x:v>West</x:v>
      </x:c>
      <x:c r="F175" s="14" t="str">
        <x:v>Accessories</x:v>
      </x:c>
      <x:c r="G175" s="14" t="str">
        <x:v>Laptop Sleeve</x:v>
      </x:c>
      <x:c r="H175" s="47" t="n">
        <x:v>1</x:v>
      </x:c>
      <x:c r="I175" s="35" t="n">
        <x:v>717</x:v>
      </x:c>
      <x:c r="J175" s="41" t="n">
        <x:v>0</x:v>
      </x:c>
      <x:c r="K175" s="35" t="n">
        <x:f>ROUND(H175*I175*(1-J175),0)</x:f>
        <x:v>717</x:v>
      </x:c>
      <x:c r="L175" s="35" t="n">
        <x:f>ROUND(K175*IF(F175="Electronics",18%,IF(F175="Office Supplies",22%,IF(F175="Furniture",15%,25%))),0)</x:f>
        <x:v>179</x:v>
      </x:c>
      <x:c r="M175" s="14" t="str">
        <x:v>UPI</x:v>
      </x:c>
      <x:c r="N175" s="15" t="str">
        <x:v>Consumer</x:v>
      </x:c>
    </x:row>
    <x:row r="176">
      <x:c r="A176" s="13" t="str">
        <x:v>ORD-0175</x:v>
      </x:c>
      <x:c r="B176" s="29" t="n">
        <x:v>45929</x:v>
      </x:c>
      <x:c r="C176" s="14" t="str">
        <x:f>TEXT(B176,"mmm-yyyy")</x:f>
        <x:v>Sep-2025</x:v>
      </x:c>
      <x:c r="D176" s="14" t="str">
        <x:v>Hyderabad</x:v>
      </x:c>
      <x:c r="E176" s="14" t="str">
        <x:v>South</x:v>
      </x:c>
      <x:c r="F176" s="14" t="str">
        <x:v>Office Supplies</x:v>
      </x:c>
      <x:c r="G176" s="14" t="str">
        <x:v>Ball Pen Set</x:v>
      </x:c>
      <x:c r="H176" s="47" t="n">
        <x:v>2</x:v>
      </x:c>
      <x:c r="I176" s="35" t="n">
        <x:v>194</x:v>
      </x:c>
      <x:c r="J176" s="41" t="n">
        <x:v>0</x:v>
      </x:c>
      <x:c r="K176" s="35" t="n">
        <x:f>ROUND(H176*I176*(1-J176),0)</x:f>
        <x:v>388</x:v>
      </x:c>
      <x:c r="L176" s="35" t="n">
        <x:f>ROUND(K176*IF(F176="Electronics",18%,IF(F176="Office Supplies",22%,IF(F176="Furniture",15%,25%))),0)</x:f>
        <x:v>85</x:v>
      </x:c>
      <x:c r="M176" s="14" t="str">
        <x:v>Debit Card</x:v>
      </x:c>
      <x:c r="N176" s="15" t="str">
        <x:v>Home Office</x:v>
      </x:c>
    </x:row>
    <x:row r="177">
      <x:c r="A177" s="13" t="str">
        <x:v>ORD-0176</x:v>
      </x:c>
      <x:c r="B177" s="29" t="n">
        <x:v>45963</x:v>
      </x:c>
      <x:c r="C177" s="14" t="str">
        <x:f>TEXT(B177,"mmm-yyyy")</x:f>
        <x:v>Nov-2025</x:v>
      </x:c>
      <x:c r="D177" s="14" t="str">
        <x:v>Pune</x:v>
      </x:c>
      <x:c r="E177" s="14" t="str">
        <x:v>West</x:v>
      </x:c>
      <x:c r="F177" s="14" t="str">
        <x:v>Accessories</x:v>
      </x:c>
      <x:c r="G177" s="14" t="str">
        <x:v>Desk Lamp</x:v>
      </x:c>
      <x:c r="H177" s="47" t="n">
        <x:v>1</x:v>
      </x:c>
      <x:c r="I177" s="35" t="n">
        <x:v>850</x:v>
      </x:c>
      <x:c r="J177" s="41" t="n">
        <x:v>0.05</x:v>
      </x:c>
      <x:c r="K177" s="35" t="n">
        <x:f>ROUND(H177*I177*(1-J177),0)</x:f>
        <x:v>808</x:v>
      </x:c>
      <x:c r="L177" s="35" t="n">
        <x:f>ROUND(K177*IF(F177="Electronics",18%,IF(F177="Office Supplies",22%,IF(F177="Furniture",15%,25%))),0)</x:f>
        <x:v>202</x:v>
      </x:c>
      <x:c r="M177" s="14" t="str">
        <x:v>UPI</x:v>
      </x:c>
      <x:c r="N177" s="15" t="str">
        <x:v>Corporate</x:v>
      </x:c>
    </x:row>
    <x:row r="178">
      <x:c r="A178" s="13" t="str">
        <x:v>ORD-0177</x:v>
      </x:c>
      <x:c r="B178" s="29" t="n">
        <x:v>45884</x:v>
      </x:c>
      <x:c r="C178" s="14" t="str">
        <x:f>TEXT(B178,"mmm-yyyy")</x:f>
        <x:v>Aug-2025</x:v>
      </x:c>
      <x:c r="D178" s="14" t="str">
        <x:v>Delhi</x:v>
      </x:c>
      <x:c r="E178" s="14" t="str">
        <x:v>North</x:v>
      </x:c>
      <x:c r="F178" s="14" t="str">
        <x:v>Office Supplies</x:v>
      </x:c>
      <x:c r="G178" s="14" t="str">
        <x:v>Printer Paper</x:v>
      </x:c>
      <x:c r="H178" s="47" t="n">
        <x:v>3</x:v>
      </x:c>
      <x:c r="I178" s="35" t="n">
        <x:v>394</x:v>
      </x:c>
      <x:c r="J178" s="41" t="n">
        <x:v>0</x:v>
      </x:c>
      <x:c r="K178" s="35" t="n">
        <x:f>ROUND(H178*I178*(1-J178),0)</x:f>
        <x:v>1182</x:v>
      </x:c>
      <x:c r="L178" s="35" t="n">
        <x:f>ROUND(K178*IF(F178="Electronics",18%,IF(F178="Office Supplies",22%,IF(F178="Furniture",15%,25%))),0)</x:f>
        <x:v>260</x:v>
      </x:c>
      <x:c r="M178" s="14" t="str">
        <x:v>Net Banking</x:v>
      </x:c>
      <x:c r="N178" s="15" t="str">
        <x:v>Consumer</x:v>
      </x:c>
    </x:row>
    <x:row r="179">
      <x:c r="A179" s="13" t="str">
        <x:v>ORD-0178</x:v>
      </x:c>
      <x:c r="B179" s="29" t="n">
        <x:v>45834</x:v>
      </x:c>
      <x:c r="C179" s="14" t="str">
        <x:f>TEXT(B179,"mmm-yyyy")</x:f>
        <x:v>Jun-2025</x:v>
      </x:c>
      <x:c r="D179" s="14" t="str">
        <x:v>Delhi</x:v>
      </x:c>
      <x:c r="E179" s="14" t="str">
        <x:v>North</x:v>
      </x:c>
      <x:c r="F179" s="14" t="str">
        <x:v>Electronics</x:v>
      </x:c>
      <x:c r="G179" s="14" t="str">
        <x:v>Wireless Mouse</x:v>
      </x:c>
      <x:c r="H179" s="47" t="n">
        <x:v>2</x:v>
      </x:c>
      <x:c r="I179" s="35" t="n">
        <x:v>822</x:v>
      </x:c>
      <x:c r="J179" s="41" t="n">
        <x:v>0.05</x:v>
      </x:c>
      <x:c r="K179" s="35" t="n">
        <x:f>ROUND(H179*I179*(1-J179),0)</x:f>
        <x:v>1562</x:v>
      </x:c>
      <x:c r="L179" s="35" t="n">
        <x:f>ROUND(K179*IF(F179="Electronics",18%,IF(F179="Office Supplies",22%,IF(F179="Furniture",15%,25%))),0)</x:f>
        <x:v>281</x:v>
      </x:c>
      <x:c r="M179" s="14" t="str">
        <x:v>Debit Card</x:v>
      </x:c>
      <x:c r="N179" s="15" t="str">
        <x:v>Consumer</x:v>
      </x:c>
    </x:row>
    <x:row r="180">
      <x:c r="A180" s="13" t="str">
        <x:v>ORD-0179</x:v>
      </x:c>
      <x:c r="B180" s="29" t="n">
        <x:v>45770</x:v>
      </x:c>
      <x:c r="C180" s="14" t="str">
        <x:f>TEXT(B180,"mmm-yyyy")</x:f>
        <x:v>Apr-2025</x:v>
      </x:c>
      <x:c r="D180" s="14" t="str">
        <x:v>Delhi</x:v>
      </x:c>
      <x:c r="E180" s="14" t="str">
        <x:v>North</x:v>
      </x:c>
      <x:c r="F180" s="14" t="str">
        <x:v>Furniture</x:v>
      </x:c>
      <x:c r="G180" s="14" t="str">
        <x:v>Study Table</x:v>
      </x:c>
      <x:c r="H180" s="47" t="n">
        <x:v>1</x:v>
      </x:c>
      <x:c r="I180" s="35" t="n">
        <x:v>6668</x:v>
      </x:c>
      <x:c r="J180" s="41" t="n">
        <x:v>0.15</x:v>
      </x:c>
      <x:c r="K180" s="35" t="n">
        <x:f>ROUND(H180*I180*(1-J180),0)</x:f>
        <x:v>5668</x:v>
      </x:c>
      <x:c r="L180" s="35" t="n">
        <x:f>ROUND(K180*IF(F180="Electronics",18%,IF(F180="Office Supplies",22%,IF(F180="Furniture",15%,25%))),0)</x:f>
        <x:v>850</x:v>
      </x:c>
      <x:c r="M180" s="14" t="str">
        <x:v>Credit Card</x:v>
      </x:c>
      <x:c r="N180" s="15" t="str">
        <x:v>Corporate</x:v>
      </x:c>
    </x:row>
    <x:row r="181">
      <x:c r="A181" s="13" t="str">
        <x:v>ORD-0180</x:v>
      </x:c>
      <x:c r="B181" s="29" t="n">
        <x:v>45806</x:v>
      </x:c>
      <x:c r="C181" s="14" t="str">
        <x:f>TEXT(B181,"mmm-yyyy")</x:f>
        <x:v>May-2025</x:v>
      </x:c>
      <x:c r="D181" s="14" t="str">
        <x:v>Chennai</x:v>
      </x:c>
      <x:c r="E181" s="14" t="str">
        <x:v>South</x:v>
      </x:c>
      <x:c r="F181" s="14" t="str">
        <x:v>Electronics</x:v>
      </x:c>
      <x:c r="G181" s="14" t="str">
        <x:v>Wireless Mouse</x:v>
      </x:c>
      <x:c r="H181" s="47" t="n">
        <x:v>1</x:v>
      </x:c>
      <x:c r="I181" s="35" t="n">
        <x:v>831</x:v>
      </x:c>
      <x:c r="J181" s="41" t="n">
        <x:v>0</x:v>
      </x:c>
      <x:c r="K181" s="35" t="n">
        <x:f>ROUND(H181*I181*(1-J181),0)</x:f>
        <x:v>831</x:v>
      </x:c>
      <x:c r="L181" s="35" t="n">
        <x:f>ROUND(K181*IF(F181="Electronics",18%,IF(F181="Office Supplies",22%,IF(F181="Furniture",15%,25%))),0)</x:f>
        <x:v>150</x:v>
      </x:c>
      <x:c r="M181" s="14" t="str">
        <x:v>Cash</x:v>
      </x:c>
      <x:c r="N181" s="15" t="str">
        <x:v>Home Office</x:v>
      </x:c>
    </x:row>
    <x:row r="182">
      <x:c r="A182" s="13" t="str">
        <x:v>ORD-0181</x:v>
      </x:c>
      <x:c r="B182" s="29" t="n">
        <x:v>46018</x:v>
      </x:c>
      <x:c r="C182" s="14" t="str">
        <x:f>TEXT(B182,"mmm-yyyy")</x:f>
        <x:v>Dec-2025</x:v>
      </x:c>
      <x:c r="D182" s="14" t="str">
        <x:v>Hyderabad</x:v>
      </x:c>
      <x:c r="E182" s="14" t="str">
        <x:v>South</x:v>
      </x:c>
      <x:c r="F182" s="14" t="str">
        <x:v>Furniture</x:v>
      </x:c>
      <x:c r="G182" s="14" t="str">
        <x:v>Office Chair</x:v>
      </x:c>
      <x:c r="H182" s="47" t="n">
        <x:v>3</x:v>
      </x:c>
      <x:c r="I182" s="35" t="n">
        <x:v>5133</x:v>
      </x:c>
      <x:c r="J182" s="41" t="n">
        <x:v>0</x:v>
      </x:c>
      <x:c r="K182" s="35" t="n">
        <x:f>ROUND(H182*I182*(1-J182),0)</x:f>
        <x:v>15399</x:v>
      </x:c>
      <x:c r="L182" s="35" t="n">
        <x:f>ROUND(K182*IF(F182="Electronics",18%,IF(F182="Office Supplies",22%,IF(F182="Furniture",15%,25%))),0)</x:f>
        <x:v>2310</x:v>
      </x:c>
      <x:c r="M182" s="14" t="str">
        <x:v>Cash</x:v>
      </x:c>
      <x:c r="N182" s="15" t="str">
        <x:v>Home Office</x:v>
      </x:c>
    </x:row>
    <x:row r="183">
      <x:c r="A183" s="13" t="str">
        <x:v>ORD-0182</x:v>
      </x:c>
      <x:c r="B183" s="29" t="n">
        <x:v>45679</x:v>
      </x:c>
      <x:c r="C183" s="14" t="str">
        <x:f>TEXT(B183,"mmm-yyyy")</x:f>
        <x:v>Jan-2025</x:v>
      </x:c>
      <x:c r="D183" s="14" t="str">
        <x:v>Delhi</x:v>
      </x:c>
      <x:c r="E183" s="14" t="str">
        <x:v>North</x:v>
      </x:c>
      <x:c r="F183" s="14" t="str">
        <x:v>Electronics</x:v>
      </x:c>
      <x:c r="G183" s="14" t="str">
        <x:v>Laptop Stand</x:v>
      </x:c>
      <x:c r="H183" s="47" t="n">
        <x:v>2</x:v>
      </x:c>
      <x:c r="I183" s="35" t="n">
        <x:v>1211</x:v>
      </x:c>
      <x:c r="J183" s="41" t="n">
        <x:v>0</x:v>
      </x:c>
      <x:c r="K183" s="35" t="n">
        <x:f>ROUND(H183*I183*(1-J183),0)</x:f>
        <x:v>2422</x:v>
      </x:c>
      <x:c r="L183" s="35" t="n">
        <x:f>ROUND(K183*IF(F183="Electronics",18%,IF(F183="Office Supplies",22%,IF(F183="Furniture",15%,25%))),0)</x:f>
        <x:v>436</x:v>
      </x:c>
      <x:c r="M183" s="14" t="str">
        <x:v>Cash</x:v>
      </x:c>
      <x:c r="N183" s="15" t="str">
        <x:v>Home Office</x:v>
      </x:c>
    </x:row>
    <x:row r="184">
      <x:c r="A184" s="13" t="str">
        <x:v>ORD-0183</x:v>
      </x:c>
      <x:c r="B184" s="29" t="n">
        <x:v>45865</x:v>
      </x:c>
      <x:c r="C184" s="14" t="str">
        <x:f>TEXT(B184,"mmm-yyyy")</x:f>
        <x:v>Jul-2025</x:v>
      </x:c>
      <x:c r="D184" s="14" t="str">
        <x:v>Delhi</x:v>
      </x:c>
      <x:c r="E184" s="14" t="str">
        <x:v>North</x:v>
      </x:c>
      <x:c r="F184" s="14" t="str">
        <x:v>Office Supplies</x:v>
      </x:c>
      <x:c r="G184" s="14" t="str">
        <x:v>Notebook Pack</x:v>
      </x:c>
      <x:c r="H184" s="47" t="n">
        <x:v>1</x:v>
      </x:c>
      <x:c r="I184" s="35" t="n">
        <x:v>230</x:v>
      </x:c>
      <x:c r="J184" s="41" t="n">
        <x:v>0</x:v>
      </x:c>
      <x:c r="K184" s="35" t="n">
        <x:f>ROUND(H184*I184*(1-J184),0)</x:f>
        <x:v>230</x:v>
      </x:c>
      <x:c r="L184" s="35" t="n">
        <x:f>ROUND(K184*IF(F184="Electronics",18%,IF(F184="Office Supplies",22%,IF(F184="Furniture",15%,25%))),0)</x:f>
        <x:v>51</x:v>
      </x:c>
      <x:c r="M184" s="14" t="str">
        <x:v>Net Banking</x:v>
      </x:c>
      <x:c r="N184" s="15" t="str">
        <x:v>Corporate</x:v>
      </x:c>
    </x:row>
    <x:row r="185">
      <x:c r="A185" s="13" t="str">
        <x:v>ORD-0184</x:v>
      </x:c>
      <x:c r="B185" s="29" t="n">
        <x:v>46011</x:v>
      </x:c>
      <x:c r="C185" s="14" t="str">
        <x:f>TEXT(B185,"mmm-yyyy")</x:f>
        <x:v>Dec-2025</x:v>
      </x:c>
      <x:c r="D185" s="14" t="str">
        <x:v>Chennai</x:v>
      </x:c>
      <x:c r="E185" s="14" t="str">
        <x:v>South</x:v>
      </x:c>
      <x:c r="F185" s="14" t="str">
        <x:v>Electronics</x:v>
      </x:c>
      <x:c r="G185" s="14" t="str">
        <x:v>Wireless Mouse</x:v>
      </x:c>
      <x:c r="H185" s="47" t="n">
        <x:v>2</x:v>
      </x:c>
      <x:c r="I185" s="35" t="n">
        <x:v>749</x:v>
      </x:c>
      <x:c r="J185" s="41" t="n">
        <x:v>0.05</x:v>
      </x:c>
      <x:c r="K185" s="35" t="n">
        <x:f>ROUND(H185*I185*(1-J185),0)</x:f>
        <x:v>1423</x:v>
      </x:c>
      <x:c r="L185" s="35" t="n">
        <x:f>ROUND(K185*IF(F185="Electronics",18%,IF(F185="Office Supplies",22%,IF(F185="Furniture",15%,25%))),0)</x:f>
        <x:v>256</x:v>
      </x:c>
      <x:c r="M185" s="14" t="str">
        <x:v>Cash</x:v>
      </x:c>
      <x:c r="N185" s="15" t="str">
        <x:v>Home Office</x:v>
      </x:c>
    </x:row>
    <x:row r="186">
      <x:c r="A186" s="13" t="str">
        <x:v>ORD-0185</x:v>
      </x:c>
      <x:c r="B186" s="29" t="n">
        <x:v>45698</x:v>
      </x:c>
      <x:c r="C186" s="14" t="str">
        <x:f>TEXT(B186,"mmm-yyyy")</x:f>
        <x:v>Feb-2025</x:v>
      </x:c>
      <x:c r="D186" s="14" t="str">
        <x:v>Delhi</x:v>
      </x:c>
      <x:c r="E186" s="14" t="str">
        <x:v>North</x:v>
      </x:c>
      <x:c r="F186" s="14" t="str">
        <x:v>Accessories</x:v>
      </x:c>
      <x:c r="G186" s="14" t="str">
        <x:v>Laptop Sleeve</x:v>
      </x:c>
      <x:c r="H186" s="47" t="n">
        <x:v>2</x:v>
      </x:c>
      <x:c r="I186" s="35" t="n">
        <x:v>681</x:v>
      </x:c>
      <x:c r="J186" s="41" t="n">
        <x:v>0</x:v>
      </x:c>
      <x:c r="K186" s="35" t="n">
        <x:f>ROUND(H186*I186*(1-J186),0)</x:f>
        <x:v>1362</x:v>
      </x:c>
      <x:c r="L186" s="35" t="n">
        <x:f>ROUND(K186*IF(F186="Electronics",18%,IF(F186="Office Supplies",22%,IF(F186="Furniture",15%,25%))),0)</x:f>
        <x:v>341</x:v>
      </x:c>
      <x:c r="M186" s="14" t="str">
        <x:v>Credit Card</x:v>
      </x:c>
      <x:c r="N186" s="15" t="str">
        <x:v>Consumer</x:v>
      </x:c>
    </x:row>
    <x:row r="187">
      <x:c r="A187" s="13" t="str">
        <x:v>ORD-0186</x:v>
      </x:c>
      <x:c r="B187" s="29" t="n">
        <x:v>45919</x:v>
      </x:c>
      <x:c r="C187" s="14" t="str">
        <x:f>TEXT(B187,"mmm-yyyy")</x:f>
        <x:v>Sep-2025</x:v>
      </x:c>
      <x:c r="D187" s="14" t="str">
        <x:v>Pune</x:v>
      </x:c>
      <x:c r="E187" s="14" t="str">
        <x:v>West</x:v>
      </x:c>
      <x:c r="F187" s="14" t="str">
        <x:v>Furniture</x:v>
      </x:c>
      <x:c r="G187" s="14" t="str">
        <x:v>Office Chair</x:v>
      </x:c>
      <x:c r="H187" s="47" t="n">
        <x:v>3</x:v>
      </x:c>
      <x:c r="I187" s="35" t="n">
        <x:v>5324</x:v>
      </x:c>
      <x:c r="J187" s="41" t="n">
        <x:v>0</x:v>
      </x:c>
      <x:c r="K187" s="35" t="n">
        <x:f>ROUND(H187*I187*(1-J187),0)</x:f>
        <x:v>15972</x:v>
      </x:c>
      <x:c r="L187" s="35" t="n">
        <x:f>ROUND(K187*IF(F187="Electronics",18%,IF(F187="Office Supplies",22%,IF(F187="Furniture",15%,25%))),0)</x:f>
        <x:v>2396</x:v>
      </x:c>
      <x:c r="M187" s="14" t="str">
        <x:v>Credit Card</x:v>
      </x:c>
      <x:c r="N187" s="15" t="str">
        <x:v>Consumer</x:v>
      </x:c>
    </x:row>
    <x:row r="188">
      <x:c r="A188" s="13" t="str">
        <x:v>ORD-0187</x:v>
      </x:c>
      <x:c r="B188" s="29" t="n">
        <x:v>45710</x:v>
      </x:c>
      <x:c r="C188" s="14" t="str">
        <x:f>TEXT(B188,"mmm-yyyy")</x:f>
        <x:v>Feb-2025</x:v>
      </x:c>
      <x:c r="D188" s="14" t="str">
        <x:v>Mumbai</x:v>
      </x:c>
      <x:c r="E188" s="14" t="str">
        <x:v>West</x:v>
      </x:c>
      <x:c r="F188" s="14" t="str">
        <x:v>Office Supplies</x:v>
      </x:c>
      <x:c r="G188" s="14" t="str">
        <x:v>Notebook Pack</x:v>
      </x:c>
      <x:c r="H188" s="47" t="n">
        <x:v>1</x:v>
      </x:c>
      <x:c r="I188" s="35" t="n">
        <x:v>253</x:v>
      </x:c>
      <x:c r="J188" s="41" t="n">
        <x:v>0.1</x:v>
      </x:c>
      <x:c r="K188" s="35" t="n">
        <x:f>ROUND(H188*I188*(1-J188),0)</x:f>
        <x:v>228</x:v>
      </x:c>
      <x:c r="L188" s="35" t="n">
        <x:f>ROUND(K188*IF(F188="Electronics",18%,IF(F188="Office Supplies",22%,IF(F188="Furniture",15%,25%))),0)</x:f>
        <x:v>50</x:v>
      </x:c>
      <x:c r="M188" s="14" t="str">
        <x:v>UPI</x:v>
      </x:c>
      <x:c r="N188" s="15" t="str">
        <x:v>Consumer</x:v>
      </x:c>
    </x:row>
    <x:row r="189">
      <x:c r="A189" s="13" t="str">
        <x:v>ORD-0188</x:v>
      </x:c>
      <x:c r="B189" s="29" t="n">
        <x:v>45979</x:v>
      </x:c>
      <x:c r="C189" s="14" t="str">
        <x:f>TEXT(B189,"mmm-yyyy")</x:f>
        <x:v>Nov-2025</x:v>
      </x:c>
      <x:c r="D189" s="14" t="str">
        <x:v>Jaipur</x:v>
      </x:c>
      <x:c r="E189" s="14" t="str">
        <x:v>North</x:v>
      </x:c>
      <x:c r="F189" s="14" t="str">
        <x:v>Office Supplies</x:v>
      </x:c>
      <x:c r="G189" s="14" t="str">
        <x:v>Printer Paper</x:v>
      </x:c>
      <x:c r="H189" s="47" t="n">
        <x:v>4</x:v>
      </x:c>
      <x:c r="I189" s="35" t="n">
        <x:v>416</x:v>
      </x:c>
      <x:c r="J189" s="41" t="n">
        <x:v>0.05</x:v>
      </x:c>
      <x:c r="K189" s="35" t="n">
        <x:f>ROUND(H189*I189*(1-J189),0)</x:f>
        <x:v>1581</x:v>
      </x:c>
      <x:c r="L189" s="35" t="n">
        <x:f>ROUND(K189*IF(F189="Electronics",18%,IF(F189="Office Supplies",22%,IF(F189="Furniture",15%,25%))),0)</x:f>
        <x:v>348</x:v>
      </x:c>
      <x:c r="M189" s="14" t="str">
        <x:v>Net Banking</x:v>
      </x:c>
      <x:c r="N189" s="15" t="str">
        <x:v>Home Office</x:v>
      </x:c>
    </x:row>
    <x:row r="190">
      <x:c r="A190" s="13" t="str">
        <x:v>ORD-0189</x:v>
      </x:c>
      <x:c r="B190" s="29" t="n">
        <x:v>45983</x:v>
      </x:c>
      <x:c r="C190" s="14" t="str">
        <x:f>TEXT(B190,"mmm-yyyy")</x:f>
        <x:v>Nov-2025</x:v>
      </x:c>
      <x:c r="D190" s="14" t="str">
        <x:v>Bhopal</x:v>
      </x:c>
      <x:c r="E190" s="14" t="str">
        <x:v>Central</x:v>
      </x:c>
      <x:c r="F190" s="14" t="str">
        <x:v>Office Supplies</x:v>
      </x:c>
      <x:c r="G190" s="14" t="str">
        <x:v>Desk Organizer</x:v>
      </x:c>
      <x:c r="H190" s="47" t="n">
        <x:v>5</x:v>
      </x:c>
      <x:c r="I190" s="35" t="n">
        <x:v>713</x:v>
      </x:c>
      <x:c r="J190" s="41" t="n">
        <x:v>0</x:v>
      </x:c>
      <x:c r="K190" s="35" t="n">
        <x:f>ROUND(H190*I190*(1-J190),0)</x:f>
        <x:v>3565</x:v>
      </x:c>
      <x:c r="L190" s="35" t="n">
        <x:f>ROUND(K190*IF(F190="Electronics",18%,IF(F190="Office Supplies",22%,IF(F190="Furniture",15%,25%))),0)</x:f>
        <x:v>784</x:v>
      </x:c>
      <x:c r="M190" s="14" t="str">
        <x:v>UPI</x:v>
      </x:c>
      <x:c r="N190" s="15" t="str">
        <x:v>Corporate</x:v>
      </x:c>
    </x:row>
    <x:row r="191">
      <x:c r="A191" s="13" t="str">
        <x:v>ORD-0190</x:v>
      </x:c>
      <x:c r="B191" s="29" t="n">
        <x:v>45884</x:v>
      </x:c>
      <x:c r="C191" s="14" t="str">
        <x:f>TEXT(B191,"mmm-yyyy")</x:f>
        <x:v>Aug-2025</x:v>
      </x:c>
      <x:c r="D191" s="14" t="str">
        <x:v>Bengaluru</x:v>
      </x:c>
      <x:c r="E191" s="14" t="str">
        <x:v>South</x:v>
      </x:c>
      <x:c r="F191" s="14" t="str">
        <x:v>Accessories</x:v>
      </x:c>
      <x:c r="G191" s="14" t="str">
        <x:v>Water Bottle</x:v>
      </x:c>
      <x:c r="H191" s="47" t="n">
        <x:v>2</x:v>
      </x:c>
      <x:c r="I191" s="35" t="n">
        <x:v>324</x:v>
      </x:c>
      <x:c r="J191" s="41" t="n">
        <x:v>0.05</x:v>
      </x:c>
      <x:c r="K191" s="35" t="n">
        <x:f>ROUND(H191*I191*(1-J191),0)</x:f>
        <x:v>616</x:v>
      </x:c>
      <x:c r="L191" s="35" t="n">
        <x:f>ROUND(K191*IF(F191="Electronics",18%,IF(F191="Office Supplies",22%,IF(F191="Furniture",15%,25%))),0)</x:f>
        <x:v>154</x:v>
      </x:c>
      <x:c r="M191" s="14" t="str">
        <x:v>Debit Card</x:v>
      </x:c>
      <x:c r="N191" s="15" t="str">
        <x:v>Corporate</x:v>
      </x:c>
    </x:row>
    <x:row r="192">
      <x:c r="A192" s="13" t="str">
        <x:v>ORD-0191</x:v>
      </x:c>
      <x:c r="B192" s="29" t="n">
        <x:v>45889</x:v>
      </x:c>
      <x:c r="C192" s="14" t="str">
        <x:f>TEXT(B192,"mmm-yyyy")</x:f>
        <x:v>Aug-2025</x:v>
      </x:c>
      <x:c r="D192" s="14" t="str">
        <x:v>Nagpur</x:v>
      </x:c>
      <x:c r="E192" s="14" t="str">
        <x:v>West</x:v>
      </x:c>
      <x:c r="F192" s="14" t="str">
        <x:v>Electronics</x:v>
      </x:c>
      <x:c r="G192" s="14" t="str">
        <x:v>Laptop Stand</x:v>
      </x:c>
      <x:c r="H192" s="47" t="n">
        <x:v>2</x:v>
      </x:c>
      <x:c r="I192" s="35" t="n">
        <x:v>1255</x:v>
      </x:c>
      <x:c r="J192" s="41" t="n">
        <x:v>0.1</x:v>
      </x:c>
      <x:c r="K192" s="35" t="n">
        <x:f>ROUND(H192*I192*(1-J192),0)</x:f>
        <x:v>2259</x:v>
      </x:c>
      <x:c r="L192" s="35" t="n">
        <x:f>ROUND(K192*IF(F192="Electronics",18%,IF(F192="Office Supplies",22%,IF(F192="Furniture",15%,25%))),0)</x:f>
        <x:v>407</x:v>
      </x:c>
      <x:c r="M192" s="14" t="str">
        <x:v>UPI</x:v>
      </x:c>
      <x:c r="N192" s="15" t="str">
        <x:v>Home Office</x:v>
      </x:c>
    </x:row>
    <x:row r="193">
      <x:c r="A193" s="13" t="str">
        <x:v>ORD-0192</x:v>
      </x:c>
      <x:c r="B193" s="29" t="n">
        <x:v>45962</x:v>
      </x:c>
      <x:c r="C193" s="14" t="str">
        <x:f>TEXT(B193,"mmm-yyyy")</x:f>
        <x:v>Nov-2025</x:v>
      </x:c>
      <x:c r="D193" s="14" t="str">
        <x:v>Kolkata</x:v>
      </x:c>
      <x:c r="E193" s="14" t="str">
        <x:v>East</x:v>
      </x:c>
      <x:c r="F193" s="14" t="str">
        <x:v>Office Supplies</x:v>
      </x:c>
      <x:c r="G193" s="14" t="str">
        <x:v>Ball Pen Set</x:v>
      </x:c>
      <x:c r="H193" s="47" t="n">
        <x:v>3</x:v>
      </x:c>
      <x:c r="I193" s="35" t="n">
        <x:v>201</x:v>
      </x:c>
      <x:c r="J193" s="41" t="n">
        <x:v>0.1</x:v>
      </x:c>
      <x:c r="K193" s="35" t="n">
        <x:f>ROUND(H193*I193*(1-J193),0)</x:f>
        <x:v>543</x:v>
      </x:c>
      <x:c r="L193" s="35" t="n">
        <x:f>ROUND(K193*IF(F193="Electronics",18%,IF(F193="Office Supplies",22%,IF(F193="Furniture",15%,25%))),0)</x:f>
        <x:v>119</x:v>
      </x:c>
      <x:c r="M193" s="14" t="str">
        <x:v>UPI</x:v>
      </x:c>
      <x:c r="N193" s="15" t="str">
        <x:v>Corporate</x:v>
      </x:c>
    </x:row>
    <x:row r="194">
      <x:c r="A194" s="13" t="str">
        <x:v>ORD-0193</x:v>
      </x:c>
      <x:c r="B194" s="29" t="n">
        <x:v>45950</x:v>
      </x:c>
      <x:c r="C194" s="14" t="str">
        <x:f>TEXT(B194,"mmm-yyyy")</x:f>
        <x:v>Oct-2025</x:v>
      </x:c>
      <x:c r="D194" s="14" t="str">
        <x:v>Hyderabad</x:v>
      </x:c>
      <x:c r="E194" s="14" t="str">
        <x:v>South</x:v>
      </x:c>
      <x:c r="F194" s="14" t="str">
        <x:v>Office Supplies</x:v>
      </x:c>
      <x:c r="G194" s="14" t="str">
        <x:v>Desk Organizer</x:v>
      </x:c>
      <x:c r="H194" s="47" t="n">
        <x:v>3</x:v>
      </x:c>
      <x:c r="I194" s="35" t="n">
        <x:v>699</x:v>
      </x:c>
      <x:c r="J194" s="41" t="n">
        <x:v>0.15</x:v>
      </x:c>
      <x:c r="K194" s="35" t="n">
        <x:f>ROUND(H194*I194*(1-J194),0)</x:f>
        <x:v>1782</x:v>
      </x:c>
      <x:c r="L194" s="35" t="n">
        <x:f>ROUND(K194*IF(F194="Electronics",18%,IF(F194="Office Supplies",22%,IF(F194="Furniture",15%,25%))),0)</x:f>
        <x:v>392</x:v>
      </x:c>
      <x:c r="M194" s="14" t="str">
        <x:v>Cash</x:v>
      </x:c>
      <x:c r="N194" s="15" t="str">
        <x:v>Consumer</x:v>
      </x:c>
    </x:row>
    <x:row r="195">
      <x:c r="A195" s="13" t="str">
        <x:v>ORD-0194</x:v>
      </x:c>
      <x:c r="B195" s="29" t="n">
        <x:v>45833</x:v>
      </x:c>
      <x:c r="C195" s="14" t="str">
        <x:f>TEXT(B195,"mmm-yyyy")</x:f>
        <x:v>Jun-2025</x:v>
      </x:c>
      <x:c r="D195" s="14" t="str">
        <x:v>Pune</x:v>
      </x:c>
      <x:c r="E195" s="14" t="str">
        <x:v>West</x:v>
      </x:c>
      <x:c r="F195" s="14" t="str">
        <x:v>Furniture</x:v>
      </x:c>
      <x:c r="G195" s="14" t="str">
        <x:v>Office Chair</x:v>
      </x:c>
      <x:c r="H195" s="47" t="n">
        <x:v>3</x:v>
      </x:c>
      <x:c r="I195" s="35" t="n">
        <x:v>4630</x:v>
      </x:c>
      <x:c r="J195" s="41" t="n">
        <x:v>0.1</x:v>
      </x:c>
      <x:c r="K195" s="35" t="n">
        <x:f>ROUND(H195*I195*(1-J195),0)</x:f>
        <x:v>12501</x:v>
      </x:c>
      <x:c r="L195" s="35" t="n">
        <x:f>ROUND(K195*IF(F195="Electronics",18%,IF(F195="Office Supplies",22%,IF(F195="Furniture",15%,25%))),0)</x:f>
        <x:v>1875</x:v>
      </x:c>
      <x:c r="M195" s="14" t="str">
        <x:v>Cash</x:v>
      </x:c>
      <x:c r="N195" s="15" t="str">
        <x:v>Home Office</x:v>
      </x:c>
    </x:row>
    <x:row r="196">
      <x:c r="A196" s="13" t="str">
        <x:v>ORD-0195</x:v>
      </x:c>
      <x:c r="B196" s="29" t="n">
        <x:v>45925</x:v>
      </x:c>
      <x:c r="C196" s="14" t="str">
        <x:f>TEXT(B196,"mmm-yyyy")</x:f>
        <x:v>Sep-2025</x:v>
      </x:c>
      <x:c r="D196" s="14" t="str">
        <x:v>Bhopal</x:v>
      </x:c>
      <x:c r="E196" s="14" t="str">
        <x:v>Central</x:v>
      </x:c>
      <x:c r="F196" s="14" t="str">
        <x:v>Electronics</x:v>
      </x:c>
      <x:c r="G196" s="14" t="str">
        <x:v>Bluetooth Speaker</x:v>
      </x:c>
      <x:c r="H196" s="47" t="n">
        <x:v>2</x:v>
      </x:c>
      <x:c r="I196" s="35" t="n">
        <x:v>1599</x:v>
      </x:c>
      <x:c r="J196" s="41" t="n">
        <x:v>0.05</x:v>
      </x:c>
      <x:c r="K196" s="35" t="n">
        <x:f>ROUND(H196*I196*(1-J196),0)</x:f>
        <x:v>3038</x:v>
      </x:c>
      <x:c r="L196" s="35" t="n">
        <x:f>ROUND(K196*IF(F196="Electronics",18%,IF(F196="Office Supplies",22%,IF(F196="Furniture",15%,25%))),0)</x:f>
        <x:v>547</x:v>
      </x:c>
      <x:c r="M196" s="14" t="str">
        <x:v>Debit Card</x:v>
      </x:c>
      <x:c r="N196" s="15" t="str">
        <x:v>Home Office</x:v>
      </x:c>
    </x:row>
    <x:row r="197">
      <x:c r="A197" s="13" t="str">
        <x:v>ORD-0196</x:v>
      </x:c>
      <x:c r="B197" s="29" t="n">
        <x:v>45964</x:v>
      </x:c>
      <x:c r="C197" s="14" t="str">
        <x:f>TEXT(B197,"mmm-yyyy")</x:f>
        <x:v>Nov-2025</x:v>
      </x:c>
      <x:c r="D197" s="14" t="str">
        <x:v>Nagpur</x:v>
      </x:c>
      <x:c r="E197" s="14" t="str">
        <x:v>West</x:v>
      </x:c>
      <x:c r="F197" s="14" t="str">
        <x:v>Accessories</x:v>
      </x:c>
      <x:c r="G197" s="14" t="str">
        <x:v>Water Bottle</x:v>
      </x:c>
      <x:c r="H197" s="47" t="n">
        <x:v>3</x:v>
      </x:c>
      <x:c r="I197" s="35" t="n">
        <x:v>340</x:v>
      </x:c>
      <x:c r="J197" s="41" t="n">
        <x:v>0</x:v>
      </x:c>
      <x:c r="K197" s="35" t="n">
        <x:f>ROUND(H197*I197*(1-J197),0)</x:f>
        <x:v>1020</x:v>
      </x:c>
      <x:c r="L197" s="35" t="n">
        <x:f>ROUND(K197*IF(F197="Electronics",18%,IF(F197="Office Supplies",22%,IF(F197="Furniture",15%,25%))),0)</x:f>
        <x:v>255</x:v>
      </x:c>
      <x:c r="M197" s="14" t="str">
        <x:v>Net Banking</x:v>
      </x:c>
      <x:c r="N197" s="15" t="str">
        <x:v>Home Office</x:v>
      </x:c>
    </x:row>
    <x:row r="198">
      <x:c r="A198" s="13" t="str">
        <x:v>ORD-0197</x:v>
      </x:c>
      <x:c r="B198" s="29" t="n">
        <x:v>45855</x:v>
      </x:c>
      <x:c r="C198" s="14" t="str">
        <x:f>TEXT(B198,"mmm-yyyy")</x:f>
        <x:v>Jul-2025</x:v>
      </x:c>
      <x:c r="D198" s="14" t="str">
        <x:v>Bengaluru</x:v>
      </x:c>
      <x:c r="E198" s="14" t="str">
        <x:v>South</x:v>
      </x:c>
      <x:c r="F198" s="14" t="str">
        <x:v>Office Supplies</x:v>
      </x:c>
      <x:c r="G198" s="14" t="str">
        <x:v>Notebook Pack</x:v>
      </x:c>
      <x:c r="H198" s="47" t="n">
        <x:v>4</x:v>
      </x:c>
      <x:c r="I198" s="35" t="n">
        <x:v>255</x:v>
      </x:c>
      <x:c r="J198" s="41" t="n">
        <x:v>0.15</x:v>
      </x:c>
      <x:c r="K198" s="35" t="n">
        <x:f>ROUND(H198*I198*(1-J198),0)</x:f>
        <x:v>867</x:v>
      </x:c>
      <x:c r="L198" s="35" t="n">
        <x:f>ROUND(K198*IF(F198="Electronics",18%,IF(F198="Office Supplies",22%,IF(F198="Furniture",15%,25%))),0)</x:f>
        <x:v>191</x:v>
      </x:c>
      <x:c r="M198" s="14" t="str">
        <x:v>Credit Card</x:v>
      </x:c>
      <x:c r="N198" s="15" t="str">
        <x:v>Corporate</x:v>
      </x:c>
    </x:row>
    <x:row r="199">
      <x:c r="A199" s="13" t="str">
        <x:v>ORD-0198</x:v>
      </x:c>
      <x:c r="B199" s="29" t="n">
        <x:v>45699</x:v>
      </x:c>
      <x:c r="C199" s="14" t="str">
        <x:f>TEXT(B199,"mmm-yyyy")</x:f>
        <x:v>Feb-2025</x:v>
      </x:c>
      <x:c r="D199" s="14" t="str">
        <x:v>Bhopal</x:v>
      </x:c>
      <x:c r="E199" s="14" t="str">
        <x:v>Central</x:v>
      </x:c>
      <x:c r="F199" s="14" t="str">
        <x:v>Furniture</x:v>
      </x:c>
      <x:c r="G199" s="14" t="str">
        <x:v>Bookshelf</x:v>
      </x:c>
      <x:c r="H199" s="47" t="n">
        <x:v>1</x:v>
      </x:c>
      <x:c r="I199" s="35" t="n">
        <x:v>3415</x:v>
      </x:c>
      <x:c r="J199" s="41" t="n">
        <x:v>0.2</x:v>
      </x:c>
      <x:c r="K199" s="35" t="n">
        <x:f>ROUND(H199*I199*(1-J199),0)</x:f>
        <x:v>2732</x:v>
      </x:c>
      <x:c r="L199" s="35" t="n">
        <x:f>ROUND(K199*IF(F199="Electronics",18%,IF(F199="Office Supplies",22%,IF(F199="Furniture",15%,25%))),0)</x:f>
        <x:v>410</x:v>
      </x:c>
      <x:c r="M199" s="14" t="str">
        <x:v>Cash</x:v>
      </x:c>
      <x:c r="N199" s="15" t="str">
        <x:v>Consumer</x:v>
      </x:c>
    </x:row>
    <x:row r="200">
      <x:c r="A200" s="13" t="str">
        <x:v>ORD-0199</x:v>
      </x:c>
      <x:c r="B200" s="29" t="n">
        <x:v>45962</x:v>
      </x:c>
      <x:c r="C200" s="14" t="str">
        <x:f>TEXT(B200,"mmm-yyyy")</x:f>
        <x:v>Nov-2025</x:v>
      </x:c>
      <x:c r="D200" s="14" t="str">
        <x:v>Pune</x:v>
      </x:c>
      <x:c r="E200" s="14" t="str">
        <x:v>West</x:v>
      </x:c>
      <x:c r="F200" s="14" t="str">
        <x:v>Office Supplies</x:v>
      </x:c>
      <x:c r="G200" s="14" t="str">
        <x:v>Notebook Pack</x:v>
      </x:c>
      <x:c r="H200" s="47" t="n">
        <x:v>3</x:v>
      </x:c>
      <x:c r="I200" s="35" t="n">
        <x:v>255</x:v>
      </x:c>
      <x:c r="J200" s="41" t="n">
        <x:v>0</x:v>
      </x:c>
      <x:c r="K200" s="35" t="n">
        <x:f>ROUND(H200*I200*(1-J200),0)</x:f>
        <x:v>765</x:v>
      </x:c>
      <x:c r="L200" s="35" t="n">
        <x:f>ROUND(K200*IF(F200="Electronics",18%,IF(F200="Office Supplies",22%,IF(F200="Furniture",15%,25%))),0)</x:f>
        <x:v>168</x:v>
      </x:c>
      <x:c r="M200" s="14" t="str">
        <x:v>Credit Card</x:v>
      </x:c>
      <x:c r="N200" s="15" t="str">
        <x:v>Home Office</x:v>
      </x:c>
    </x:row>
    <x:row r="201">
      <x:c r="A201" s="13" t="str">
        <x:v>ORD-0200</x:v>
      </x:c>
      <x:c r="B201" s="29" t="n">
        <x:v>46017</x:v>
      </x:c>
      <x:c r="C201" s="14" t="str">
        <x:f>TEXT(B201,"mmm-yyyy")</x:f>
        <x:v>Dec-2025</x:v>
      </x:c>
      <x:c r="D201" s="14" t="str">
        <x:v>Kolkata</x:v>
      </x:c>
      <x:c r="E201" s="14" t="str">
        <x:v>East</x:v>
      </x:c>
      <x:c r="F201" s="14" t="str">
        <x:v>Electronics</x:v>
      </x:c>
      <x:c r="G201" s="14" t="str">
        <x:v>Wireless Mouse</x:v>
      </x:c>
      <x:c r="H201" s="47" t="n">
        <x:v>3</x:v>
      </x:c>
      <x:c r="I201" s="35" t="n">
        <x:v>789</x:v>
      </x:c>
      <x:c r="J201" s="41" t="n">
        <x:v>0</x:v>
      </x:c>
      <x:c r="K201" s="35" t="n">
        <x:f>ROUND(H201*I201*(1-J201),0)</x:f>
        <x:v>2367</x:v>
      </x:c>
      <x:c r="L201" s="35" t="n">
        <x:f>ROUND(K201*IF(F201="Electronics",18%,IF(F201="Office Supplies",22%,IF(F201="Furniture",15%,25%))),0)</x:f>
        <x:v>426</x:v>
      </x:c>
      <x:c r="M201" s="14" t="str">
        <x:v>Debit Card</x:v>
      </x:c>
      <x:c r="N201" s="15" t="str">
        <x:v>Corporate</x:v>
      </x:c>
    </x:row>
    <x:row r="202">
      <x:c r="A202" s="13" t="str">
        <x:v>ORD-0201</x:v>
      </x:c>
      <x:c r="B202" s="29" t="n">
        <x:v>45750</x:v>
      </x:c>
      <x:c r="C202" s="14" t="str">
        <x:f>TEXT(B202,"mmm-yyyy")</x:f>
        <x:v>Apr-2025</x:v>
      </x:c>
      <x:c r="D202" s="14" t="str">
        <x:v>Hyderabad</x:v>
      </x:c>
      <x:c r="E202" s="14" t="str">
        <x:v>South</x:v>
      </x:c>
      <x:c r="F202" s="14" t="str">
        <x:v>Office Supplies</x:v>
      </x:c>
      <x:c r="G202" s="14" t="str">
        <x:v>Desk Organizer</x:v>
      </x:c>
      <x:c r="H202" s="47" t="n">
        <x:v>7</x:v>
      </x:c>
      <x:c r="I202" s="35" t="n">
        <x:v>697</x:v>
      </x:c>
      <x:c r="J202" s="41" t="n">
        <x:v>0</x:v>
      </x:c>
      <x:c r="K202" s="35" t="n">
        <x:f>ROUND(H202*I202*(1-J202),0)</x:f>
        <x:v>4879</x:v>
      </x:c>
      <x:c r="L202" s="35" t="n">
        <x:f>ROUND(K202*IF(F202="Electronics",18%,IF(F202="Office Supplies",22%,IF(F202="Furniture",15%,25%))),0)</x:f>
        <x:v>1073</x:v>
      </x:c>
      <x:c r="M202" s="14" t="str">
        <x:v>Credit Card</x:v>
      </x:c>
      <x:c r="N202" s="15" t="str">
        <x:v>Consumer</x:v>
      </x:c>
    </x:row>
    <x:row r="203">
      <x:c r="A203" s="13" t="str">
        <x:v>ORD-0202</x:v>
      </x:c>
      <x:c r="B203" s="29" t="n">
        <x:v>45697</x:v>
      </x:c>
      <x:c r="C203" s="14" t="str">
        <x:f>TEXT(B203,"mmm-yyyy")</x:f>
        <x:v>Feb-2025</x:v>
      </x:c>
      <x:c r="D203" s="14" t="str">
        <x:v>Bengaluru</x:v>
      </x:c>
      <x:c r="E203" s="14" t="str">
        <x:v>South</x:v>
      </x:c>
      <x:c r="F203" s="14" t="str">
        <x:v>Accessories</x:v>
      </x:c>
      <x:c r="G203" s="14" t="str">
        <x:v>Laptop Sleeve</x:v>
      </x:c>
      <x:c r="H203" s="47" t="n">
        <x:v>5</x:v>
      </x:c>
      <x:c r="I203" s="35" t="n">
        <x:v>700</x:v>
      </x:c>
      <x:c r="J203" s="41" t="n">
        <x:v>0.05</x:v>
      </x:c>
      <x:c r="K203" s="35" t="n">
        <x:f>ROUND(H203*I203*(1-J203),0)</x:f>
        <x:v>3325</x:v>
      </x:c>
      <x:c r="L203" s="35" t="n">
        <x:f>ROUND(K203*IF(F203="Electronics",18%,IF(F203="Office Supplies",22%,IF(F203="Furniture",15%,25%))),0)</x:f>
        <x:v>831</x:v>
      </x:c>
      <x:c r="M203" s="14" t="str">
        <x:v>Net Banking</x:v>
      </x:c>
      <x:c r="N203" s="15" t="str">
        <x:v>Consumer</x:v>
      </x:c>
    </x:row>
    <x:row r="204">
      <x:c r="A204" s="13" t="str">
        <x:v>ORD-0203</x:v>
      </x:c>
      <x:c r="B204" s="29" t="n">
        <x:v>45996</x:v>
      </x:c>
      <x:c r="C204" s="14" t="str">
        <x:f>TEXT(B204,"mmm-yyyy")</x:f>
        <x:v>Dec-2025</x:v>
      </x:c>
      <x:c r="D204" s="14" t="str">
        <x:v>Chennai</x:v>
      </x:c>
      <x:c r="E204" s="14" t="str">
        <x:v>South</x:v>
      </x:c>
      <x:c r="F204" s="14" t="str">
        <x:v>Accessories</x:v>
      </x:c>
      <x:c r="G204" s="14" t="str">
        <x:v>Desk Lamp</x:v>
      </x:c>
      <x:c r="H204" s="47" t="n">
        <x:v>4</x:v>
      </x:c>
      <x:c r="I204" s="35" t="n">
        <x:v>846</x:v>
      </x:c>
      <x:c r="J204" s="41" t="n">
        <x:v>0</x:v>
      </x:c>
      <x:c r="K204" s="35" t="n">
        <x:f>ROUND(H204*I204*(1-J204),0)</x:f>
        <x:v>3384</x:v>
      </x:c>
      <x:c r="L204" s="35" t="n">
        <x:f>ROUND(K204*IF(F204="Electronics",18%,IF(F204="Office Supplies",22%,IF(F204="Furniture",15%,25%))),0)</x:f>
        <x:v>846</x:v>
      </x:c>
      <x:c r="M204" s="14" t="str">
        <x:v>Credit Card</x:v>
      </x:c>
      <x:c r="N204" s="15" t="str">
        <x:v>Consumer</x:v>
      </x:c>
    </x:row>
    <x:row r="205">
      <x:c r="A205" s="13" t="str">
        <x:v>ORD-0204</x:v>
      </x:c>
      <x:c r="B205" s="29" t="n">
        <x:v>46012</x:v>
      </x:c>
      <x:c r="C205" s="14" t="str">
        <x:f>TEXT(B205,"mmm-yyyy")</x:f>
        <x:v>Dec-2025</x:v>
      </x:c>
      <x:c r="D205" s="14" t="str">
        <x:v>Bhopal</x:v>
      </x:c>
      <x:c r="E205" s="14" t="str">
        <x:v>Central</x:v>
      </x:c>
      <x:c r="F205" s="14" t="str">
        <x:v>Accessories</x:v>
      </x:c>
      <x:c r="G205" s="14" t="str">
        <x:v>Water Bottle</x:v>
      </x:c>
      <x:c r="H205" s="47" t="n">
        <x:v>6</x:v>
      </x:c>
      <x:c r="I205" s="35" t="n">
        <x:v>361</x:v>
      </x:c>
      <x:c r="J205" s="41" t="n">
        <x:v>0</x:v>
      </x:c>
      <x:c r="K205" s="35" t="n">
        <x:f>ROUND(H205*I205*(1-J205),0)</x:f>
        <x:v>2166</x:v>
      </x:c>
      <x:c r="L205" s="35" t="n">
        <x:f>ROUND(K205*IF(F205="Electronics",18%,IF(F205="Office Supplies",22%,IF(F205="Furniture",15%,25%))),0)</x:f>
        <x:v>542</x:v>
      </x:c>
      <x:c r="M205" s="14" t="str">
        <x:v>Debit Card</x:v>
      </x:c>
      <x:c r="N205" s="15" t="str">
        <x:v>Home Office</x:v>
      </x:c>
    </x:row>
    <x:row r="206">
      <x:c r="A206" s="13" t="str">
        <x:v>ORD-0205</x:v>
      </x:c>
      <x:c r="B206" s="29" t="n">
        <x:v>45779</x:v>
      </x:c>
      <x:c r="C206" s="14" t="str">
        <x:f>TEXT(B206,"mmm-yyyy")</x:f>
        <x:v>May-2025</x:v>
      </x:c>
      <x:c r="D206" s="14" t="str">
        <x:v>Jaipur</x:v>
      </x:c>
      <x:c r="E206" s="14" t="str">
        <x:v>North</x:v>
      </x:c>
      <x:c r="F206" s="14" t="str">
        <x:v>Furniture</x:v>
      </x:c>
      <x:c r="G206" s="14" t="str">
        <x:v>Study Table</x:v>
      </x:c>
      <x:c r="H206" s="47" t="n">
        <x:v>2</x:v>
      </x:c>
      <x:c r="I206" s="35" t="n">
        <x:v>7277</x:v>
      </x:c>
      <x:c r="J206" s="41" t="n">
        <x:v>0.05</x:v>
      </x:c>
      <x:c r="K206" s="35" t="n">
        <x:f>ROUND(H206*I206*(1-J206),0)</x:f>
        <x:v>13826</x:v>
      </x:c>
      <x:c r="L206" s="35" t="n">
        <x:f>ROUND(K206*IF(F206="Electronics",18%,IF(F206="Office Supplies",22%,IF(F206="Furniture",15%,25%))),0)</x:f>
        <x:v>2074</x:v>
      </x:c>
      <x:c r="M206" s="14" t="str">
        <x:v>Net Banking</x:v>
      </x:c>
      <x:c r="N206" s="15" t="str">
        <x:v>Consumer</x:v>
      </x:c>
    </x:row>
    <x:row r="207">
      <x:c r="A207" s="13" t="str">
        <x:v>ORD-0206</x:v>
      </x:c>
      <x:c r="B207" s="29" t="n">
        <x:v>45816</x:v>
      </x:c>
      <x:c r="C207" s="14" t="str">
        <x:f>TEXT(B207,"mmm-yyyy")</x:f>
        <x:v>Jun-2025</x:v>
      </x:c>
      <x:c r="D207" s="14" t="str">
        <x:v>Jaipur</x:v>
      </x:c>
      <x:c r="E207" s="14" t="str">
        <x:v>North</x:v>
      </x:c>
      <x:c r="F207" s="14" t="str">
        <x:v>Accessories</x:v>
      </x:c>
      <x:c r="G207" s="14" t="str">
        <x:v>Desk Lamp</x:v>
      </x:c>
      <x:c r="H207" s="47" t="n">
        <x:v>5</x:v>
      </x:c>
      <x:c r="I207" s="35" t="n">
        <x:v>880</x:v>
      </x:c>
      <x:c r="J207" s="41" t="n">
        <x:v>0.15</x:v>
      </x:c>
      <x:c r="K207" s="35" t="n">
        <x:f>ROUND(H207*I207*(1-J207),0)</x:f>
        <x:v>3740</x:v>
      </x:c>
      <x:c r="L207" s="35" t="n">
        <x:f>ROUND(K207*IF(F207="Electronics",18%,IF(F207="Office Supplies",22%,IF(F207="Furniture",15%,25%))),0)</x:f>
        <x:v>935</x:v>
      </x:c>
      <x:c r="M207" s="14" t="str">
        <x:v>Cash</x:v>
      </x:c>
      <x:c r="N207" s="15" t="str">
        <x:v>Corporate</x:v>
      </x:c>
    </x:row>
    <x:row r="208">
      <x:c r="A208" s="13" t="str">
        <x:v>ORD-0207</x:v>
      </x:c>
      <x:c r="B208" s="29" t="n">
        <x:v>45802</x:v>
      </x:c>
      <x:c r="C208" s="14" t="str">
        <x:f>TEXT(B208,"mmm-yyyy")</x:f>
        <x:v>May-2025</x:v>
      </x:c>
      <x:c r="D208" s="14" t="str">
        <x:v>Delhi</x:v>
      </x:c>
      <x:c r="E208" s="14" t="str">
        <x:v>North</x:v>
      </x:c>
      <x:c r="F208" s="14" t="str">
        <x:v>Furniture</x:v>
      </x:c>
      <x:c r="G208" s="14" t="str">
        <x:v>Office Chair</x:v>
      </x:c>
      <x:c r="H208" s="47" t="n">
        <x:v>3</x:v>
      </x:c>
      <x:c r="I208" s="35" t="n">
        <x:v>5372</x:v>
      </x:c>
      <x:c r="J208" s="41" t="n">
        <x:v>0.1</x:v>
      </x:c>
      <x:c r="K208" s="35" t="n">
        <x:f>ROUND(H208*I208*(1-J208),0)</x:f>
        <x:v>14504</x:v>
      </x:c>
      <x:c r="L208" s="35" t="n">
        <x:f>ROUND(K208*IF(F208="Electronics",18%,IF(F208="Office Supplies",22%,IF(F208="Furniture",15%,25%))),0)</x:f>
        <x:v>2176</x:v>
      </x:c>
      <x:c r="M208" s="14" t="str">
        <x:v>Net Banking</x:v>
      </x:c>
      <x:c r="N208" s="15" t="str">
        <x:v>Consumer</x:v>
      </x:c>
    </x:row>
    <x:row r="209">
      <x:c r="A209" s="13" t="str">
        <x:v>ORD-0208</x:v>
      </x:c>
      <x:c r="B209" s="29" t="n">
        <x:v>45786</x:v>
      </x:c>
      <x:c r="C209" s="14" t="str">
        <x:f>TEXT(B209,"mmm-yyyy")</x:f>
        <x:v>May-2025</x:v>
      </x:c>
      <x:c r="D209" s="14" t="str">
        <x:v>Nagpur</x:v>
      </x:c>
      <x:c r="E209" s="14" t="str">
        <x:v>West</x:v>
      </x:c>
      <x:c r="F209" s="14" t="str">
        <x:v>Furniture</x:v>
      </x:c>
      <x:c r="G209" s="14" t="str">
        <x:v>Bookshelf</x:v>
      </x:c>
      <x:c r="H209" s="47" t="n">
        <x:v>3</x:v>
      </x:c>
      <x:c r="I209" s="35" t="n">
        <x:v>3427</x:v>
      </x:c>
      <x:c r="J209" s="41" t="n">
        <x:v>0.15</x:v>
      </x:c>
      <x:c r="K209" s="35" t="n">
        <x:f>ROUND(H209*I209*(1-J209),0)</x:f>
        <x:v>8739</x:v>
      </x:c>
      <x:c r="L209" s="35" t="n">
        <x:f>ROUND(K209*IF(F209="Electronics",18%,IF(F209="Office Supplies",22%,IF(F209="Furniture",15%,25%))),0)</x:f>
        <x:v>1311</x:v>
      </x:c>
      <x:c r="M209" s="14" t="str">
        <x:v>Net Banking</x:v>
      </x:c>
      <x:c r="N209" s="15" t="str">
        <x:v>Consumer</x:v>
      </x:c>
    </x:row>
    <x:row r="210">
      <x:c r="A210" s="13" t="str">
        <x:v>ORD-0209</x:v>
      </x:c>
      <x:c r="B210" s="29" t="n">
        <x:v>45803</x:v>
      </x:c>
      <x:c r="C210" s="14" t="str">
        <x:f>TEXT(B210,"mmm-yyyy")</x:f>
        <x:v>May-2025</x:v>
      </x:c>
      <x:c r="D210" s="14" t="str">
        <x:v>Pune</x:v>
      </x:c>
      <x:c r="E210" s="14" t="str">
        <x:v>West</x:v>
      </x:c>
      <x:c r="F210" s="14" t="str">
        <x:v>Accessories</x:v>
      </x:c>
      <x:c r="G210" s="14" t="str">
        <x:v>Water Bottle</x:v>
      </x:c>
      <x:c r="H210" s="47" t="n">
        <x:v>1</x:v>
      </x:c>
      <x:c r="I210" s="35" t="n">
        <x:v>346</x:v>
      </x:c>
      <x:c r="J210" s="41" t="n">
        <x:v>0.05</x:v>
      </x:c>
      <x:c r="K210" s="35" t="n">
        <x:f>ROUND(H210*I210*(1-J210),0)</x:f>
        <x:v>329</x:v>
      </x:c>
      <x:c r="L210" s="35" t="n">
        <x:f>ROUND(K210*IF(F210="Electronics",18%,IF(F210="Office Supplies",22%,IF(F210="Furniture",15%,25%))),0)</x:f>
        <x:v>82</x:v>
      </x:c>
      <x:c r="M210" s="14" t="str">
        <x:v>Cash</x:v>
      </x:c>
      <x:c r="N210" s="15" t="str">
        <x:v>Consumer</x:v>
      </x:c>
    </x:row>
    <x:row r="211">
      <x:c r="A211" s="13" t="str">
        <x:v>ORD-0210</x:v>
      </x:c>
      <x:c r="B211" s="29" t="n">
        <x:v>45771</x:v>
      </x:c>
      <x:c r="C211" s="14" t="str">
        <x:f>TEXT(B211,"mmm-yyyy")</x:f>
        <x:v>Apr-2025</x:v>
      </x:c>
      <x:c r="D211" s="14" t="str">
        <x:v>Jaipur</x:v>
      </x:c>
      <x:c r="E211" s="14" t="str">
        <x:v>North</x:v>
      </x:c>
      <x:c r="F211" s="14" t="str">
        <x:v>Accessories</x:v>
      </x:c>
      <x:c r="G211" s="14" t="str">
        <x:v>Desk Lamp</x:v>
      </x:c>
      <x:c r="H211" s="47" t="n">
        <x:v>2</x:v>
      </x:c>
      <x:c r="I211" s="35" t="n">
        <x:v>831</x:v>
      </x:c>
      <x:c r="J211" s="41" t="n">
        <x:v>0</x:v>
      </x:c>
      <x:c r="K211" s="35" t="n">
        <x:f>ROUND(H211*I211*(1-J211),0)</x:f>
        <x:v>1662</x:v>
      </x:c>
      <x:c r="L211" s="35" t="n">
        <x:f>ROUND(K211*IF(F211="Electronics",18%,IF(F211="Office Supplies",22%,IF(F211="Furniture",15%,25%))),0)</x:f>
        <x:v>416</x:v>
      </x:c>
      <x:c r="M211" s="14" t="str">
        <x:v>Net Banking</x:v>
      </x:c>
      <x:c r="N211" s="15" t="str">
        <x:v>Corporate</x:v>
      </x:c>
    </x:row>
    <x:row r="212">
      <x:c r="A212" s="13" t="str">
        <x:v>ORD-0211</x:v>
      </x:c>
      <x:c r="B212" s="29" t="n">
        <x:v>45778</x:v>
      </x:c>
      <x:c r="C212" s="14" t="str">
        <x:f>TEXT(B212,"mmm-yyyy")</x:f>
        <x:v>May-2025</x:v>
      </x:c>
      <x:c r="D212" s="14" t="str">
        <x:v>Delhi</x:v>
      </x:c>
      <x:c r="E212" s="14" t="str">
        <x:v>North</x:v>
      </x:c>
      <x:c r="F212" s="14" t="str">
        <x:v>Electronics</x:v>
      </x:c>
      <x:c r="G212" s="14" t="str">
        <x:v>Wireless Mouse</x:v>
      </x:c>
      <x:c r="H212" s="47" t="n">
        <x:v>2</x:v>
      </x:c>
      <x:c r="I212" s="35" t="n">
        <x:v>739</x:v>
      </x:c>
      <x:c r="J212" s="41" t="n">
        <x:v>0.15</x:v>
      </x:c>
      <x:c r="K212" s="35" t="n">
        <x:f>ROUND(H212*I212*(1-J212),0)</x:f>
        <x:v>1256</x:v>
      </x:c>
      <x:c r="L212" s="35" t="n">
        <x:f>ROUND(K212*IF(F212="Electronics",18%,IF(F212="Office Supplies",22%,IF(F212="Furniture",15%,25%))),0)</x:f>
        <x:v>226</x:v>
      </x:c>
      <x:c r="M212" s="14" t="str">
        <x:v>Debit Card</x:v>
      </x:c>
      <x:c r="N212" s="15" t="str">
        <x:v>Consumer</x:v>
      </x:c>
    </x:row>
    <x:row r="213">
      <x:c r="A213" s="13" t="str">
        <x:v>ORD-0212</x:v>
      </x:c>
      <x:c r="B213" s="29" t="n">
        <x:v>45728</x:v>
      </x:c>
      <x:c r="C213" s="14" t="str">
        <x:f>TEXT(B213,"mmm-yyyy")</x:f>
        <x:v>Mar-2025</x:v>
      </x:c>
      <x:c r="D213" s="14" t="str">
        <x:v>Nagpur</x:v>
      </x:c>
      <x:c r="E213" s="14" t="str">
        <x:v>West</x:v>
      </x:c>
      <x:c r="F213" s="14" t="str">
        <x:v>Office Supplies</x:v>
      </x:c>
      <x:c r="G213" s="14" t="str">
        <x:v>Notebook Pack</x:v>
      </x:c>
      <x:c r="H213" s="47" t="n">
        <x:v>6</x:v>
      </x:c>
      <x:c r="I213" s="35" t="n">
        <x:v>248</x:v>
      </x:c>
      <x:c r="J213" s="41" t="n">
        <x:v>0.1</x:v>
      </x:c>
      <x:c r="K213" s="35" t="n">
        <x:f>ROUND(H213*I213*(1-J213),0)</x:f>
        <x:v>1339</x:v>
      </x:c>
      <x:c r="L213" s="35" t="n">
        <x:f>ROUND(K213*IF(F213="Electronics",18%,IF(F213="Office Supplies",22%,IF(F213="Furniture",15%,25%))),0)</x:f>
        <x:v>295</x:v>
      </x:c>
      <x:c r="M213" s="14" t="str">
        <x:v>Cash</x:v>
      </x:c>
      <x:c r="N213" s="15" t="str">
        <x:v>Corporate</x:v>
      </x:c>
    </x:row>
    <x:row r="214">
      <x:c r="A214" s="13" t="str">
        <x:v>ORD-0213</x:v>
      </x:c>
      <x:c r="B214" s="29" t="n">
        <x:v>45973</x:v>
      </x:c>
      <x:c r="C214" s="14" t="str">
        <x:f>TEXT(B214,"mmm-yyyy")</x:f>
        <x:v>Nov-2025</x:v>
      </x:c>
      <x:c r="D214" s="14" t="str">
        <x:v>Nagpur</x:v>
      </x:c>
      <x:c r="E214" s="14" t="str">
        <x:v>West</x:v>
      </x:c>
      <x:c r="F214" s="14" t="str">
        <x:v>Accessories</x:v>
      </x:c>
      <x:c r="G214" s="14" t="str">
        <x:v>Desk Lamp</x:v>
      </x:c>
      <x:c r="H214" s="47" t="n">
        <x:v>1</x:v>
      </x:c>
      <x:c r="I214" s="35" t="n">
        <x:v>864</x:v>
      </x:c>
      <x:c r="J214" s="41" t="n">
        <x:v>0.1</x:v>
      </x:c>
      <x:c r="K214" s="35" t="n">
        <x:f>ROUND(H214*I214*(1-J214),0)</x:f>
        <x:v>778</x:v>
      </x:c>
      <x:c r="L214" s="35" t="n">
        <x:f>ROUND(K214*IF(F214="Electronics",18%,IF(F214="Office Supplies",22%,IF(F214="Furniture",15%,25%))),0)</x:f>
        <x:v>195</x:v>
      </x:c>
      <x:c r="M214" s="14" t="str">
        <x:v>Net Banking</x:v>
      </x:c>
      <x:c r="N214" s="15" t="str">
        <x:v>Home Office</x:v>
      </x:c>
    </x:row>
    <x:row r="215">
      <x:c r="A215" s="13" t="str">
        <x:v>ORD-0214</x:v>
      </x:c>
      <x:c r="B215" s="29" t="n">
        <x:v>45969</x:v>
      </x:c>
      <x:c r="C215" s="14" t="str">
        <x:f>TEXT(B215,"mmm-yyyy")</x:f>
        <x:v>Nov-2025</x:v>
      </x:c>
      <x:c r="D215" s="14" t="str">
        <x:v>Kolkata</x:v>
      </x:c>
      <x:c r="E215" s="14" t="str">
        <x:v>East</x:v>
      </x:c>
      <x:c r="F215" s="14" t="str">
        <x:v>Office Supplies</x:v>
      </x:c>
      <x:c r="G215" s="14" t="str">
        <x:v>Ball Pen Set</x:v>
      </x:c>
      <x:c r="H215" s="47" t="n">
        <x:v>1</x:v>
      </x:c>
      <x:c r="I215" s="35" t="n">
        <x:v>192</x:v>
      </x:c>
      <x:c r="J215" s="41" t="n">
        <x:v>0</x:v>
      </x:c>
      <x:c r="K215" s="35" t="n">
        <x:f>ROUND(H215*I215*(1-J215),0)</x:f>
        <x:v>192</x:v>
      </x:c>
      <x:c r="L215" s="35" t="n">
        <x:f>ROUND(K215*IF(F215="Electronics",18%,IF(F215="Office Supplies",22%,IF(F215="Furniture",15%,25%))),0)</x:f>
        <x:v>42</x:v>
      </x:c>
      <x:c r="M215" s="14" t="str">
        <x:v>UPI</x:v>
      </x:c>
      <x:c r="N215" s="15" t="str">
        <x:v>Consumer</x:v>
      </x:c>
    </x:row>
    <x:row r="216">
      <x:c r="A216" s="13" t="str">
        <x:v>ORD-0215</x:v>
      </x:c>
      <x:c r="B216" s="29" t="n">
        <x:v>45872</x:v>
      </x:c>
      <x:c r="C216" s="14" t="str">
        <x:f>TEXT(B216,"mmm-yyyy")</x:f>
        <x:v>Aug-2025</x:v>
      </x:c>
      <x:c r="D216" s="14" t="str">
        <x:v>Bhopal</x:v>
      </x:c>
      <x:c r="E216" s="14" t="str">
        <x:v>Central</x:v>
      </x:c>
      <x:c r="F216" s="14" t="str">
        <x:v>Office Supplies</x:v>
      </x:c>
      <x:c r="G216" s="14" t="str">
        <x:v>Printer Paper</x:v>
      </x:c>
      <x:c r="H216" s="47" t="n">
        <x:v>1</x:v>
      </x:c>
      <x:c r="I216" s="35" t="n">
        <x:v>420</x:v>
      </x:c>
      <x:c r="J216" s="41" t="n">
        <x:v>0.05</x:v>
      </x:c>
      <x:c r="K216" s="35" t="n">
        <x:f>ROUND(H216*I216*(1-J216),0)</x:f>
        <x:v>399</x:v>
      </x:c>
      <x:c r="L216" s="35" t="n">
        <x:f>ROUND(K216*IF(F216="Electronics",18%,IF(F216="Office Supplies",22%,IF(F216="Furniture",15%,25%))),0)</x:f>
        <x:v>88</x:v>
      </x:c>
      <x:c r="M216" s="14" t="str">
        <x:v>Net Banking</x:v>
      </x:c>
      <x:c r="N216" s="15" t="str">
        <x:v>Consumer</x:v>
      </x:c>
    </x:row>
    <x:row r="217">
      <x:c r="A217" s="13" t="str">
        <x:v>ORD-0216</x:v>
      </x:c>
      <x:c r="B217" s="29" t="n">
        <x:v>45981</x:v>
      </x:c>
      <x:c r="C217" s="14" t="str">
        <x:f>TEXT(B217,"mmm-yyyy")</x:f>
        <x:v>Nov-2025</x:v>
      </x:c>
      <x:c r="D217" s="14" t="str">
        <x:v>Kolkata</x:v>
      </x:c>
      <x:c r="E217" s="14" t="str">
        <x:v>East</x:v>
      </x:c>
      <x:c r="F217" s="14" t="str">
        <x:v>Furniture</x:v>
      </x:c>
      <x:c r="G217" s="14" t="str">
        <x:v>Study Table</x:v>
      </x:c>
      <x:c r="H217" s="47" t="n">
        <x:v>2</x:v>
      </x:c>
      <x:c r="I217" s="35" t="n">
        <x:v>6600</x:v>
      </x:c>
      <x:c r="J217" s="41" t="n">
        <x:v>0.05</x:v>
      </x:c>
      <x:c r="K217" s="35" t="n">
        <x:f>ROUND(H217*I217*(1-J217),0)</x:f>
        <x:v>12540</x:v>
      </x:c>
      <x:c r="L217" s="35" t="n">
        <x:f>ROUND(K217*IF(F217="Electronics",18%,IF(F217="Office Supplies",22%,IF(F217="Furniture",15%,25%))),0)</x:f>
        <x:v>1881</x:v>
      </x:c>
      <x:c r="M217" s="14" t="str">
        <x:v>Net Banking</x:v>
      </x:c>
      <x:c r="N217" s="15" t="str">
        <x:v>Corporate</x:v>
      </x:c>
    </x:row>
    <x:row r="218">
      <x:c r="A218" s="13" t="str">
        <x:v>ORD-0217</x:v>
      </x:c>
      <x:c r="B218" s="29" t="n">
        <x:v>45781</x:v>
      </x:c>
      <x:c r="C218" s="14" t="str">
        <x:f>TEXT(B218,"mmm-yyyy")</x:f>
        <x:v>May-2025</x:v>
      </x:c>
      <x:c r="D218" s="14" t="str">
        <x:v>Bhopal</x:v>
      </x:c>
      <x:c r="E218" s="14" t="str">
        <x:v>Central</x:v>
      </x:c>
      <x:c r="F218" s="14" t="str">
        <x:v>Office Supplies</x:v>
      </x:c>
      <x:c r="G218" s="14" t="str">
        <x:v>Ball Pen Set</x:v>
      </x:c>
      <x:c r="H218" s="47" t="n">
        <x:v>1</x:v>
      </x:c>
      <x:c r="I218" s="35" t="n">
        <x:v>204</x:v>
      </x:c>
      <x:c r="J218" s="41" t="n">
        <x:v>0.05</x:v>
      </x:c>
      <x:c r="K218" s="35" t="n">
        <x:f>ROUND(H218*I218*(1-J218),0)</x:f>
        <x:v>194</x:v>
      </x:c>
      <x:c r="L218" s="35" t="n">
        <x:f>ROUND(K218*IF(F218="Electronics",18%,IF(F218="Office Supplies",22%,IF(F218="Furniture",15%,25%))),0)</x:f>
        <x:v>43</x:v>
      </x:c>
      <x:c r="M218" s="14" t="str">
        <x:v>Debit Card</x:v>
      </x:c>
      <x:c r="N218" s="15" t="str">
        <x:v>Consumer</x:v>
      </x:c>
    </x:row>
    <x:row r="219">
      <x:c r="A219" s="13" t="str">
        <x:v>ORD-0218</x:v>
      </x:c>
      <x:c r="B219" s="29" t="n">
        <x:v>45927</x:v>
      </x:c>
      <x:c r="C219" s="14" t="str">
        <x:f>TEXT(B219,"mmm-yyyy")</x:f>
        <x:v>Sep-2025</x:v>
      </x:c>
      <x:c r="D219" s="14" t="str">
        <x:v>Kolkata</x:v>
      </x:c>
      <x:c r="E219" s="14" t="str">
        <x:v>East</x:v>
      </x:c>
      <x:c r="F219" s="14" t="str">
        <x:v>Furniture</x:v>
      </x:c>
      <x:c r="G219" s="14" t="str">
        <x:v>Office Chair</x:v>
      </x:c>
      <x:c r="H219" s="47" t="n">
        <x:v>5</x:v>
      </x:c>
      <x:c r="I219" s="35" t="n">
        <x:v>5005</x:v>
      </x:c>
      <x:c r="J219" s="41" t="n">
        <x:v>0</x:v>
      </x:c>
      <x:c r="K219" s="35" t="n">
        <x:f>ROUND(H219*I219*(1-J219),0)</x:f>
        <x:v>25025</x:v>
      </x:c>
      <x:c r="L219" s="35" t="n">
        <x:f>ROUND(K219*IF(F219="Electronics",18%,IF(F219="Office Supplies",22%,IF(F219="Furniture",15%,25%))),0)</x:f>
        <x:v>3754</x:v>
      </x:c>
      <x:c r="M219" s="14" t="str">
        <x:v>Cash</x:v>
      </x:c>
      <x:c r="N219" s="15" t="str">
        <x:v>Consumer</x:v>
      </x:c>
    </x:row>
    <x:row r="220">
      <x:c r="A220" s="13" t="str">
        <x:v>ORD-0219</x:v>
      </x:c>
      <x:c r="B220" s="29" t="n">
        <x:v>45983</x:v>
      </x:c>
      <x:c r="C220" s="14" t="str">
        <x:f>TEXT(B220,"mmm-yyyy")</x:f>
        <x:v>Nov-2025</x:v>
      </x:c>
      <x:c r="D220" s="14" t="str">
        <x:v>Delhi</x:v>
      </x:c>
      <x:c r="E220" s="14" t="str">
        <x:v>North</x:v>
      </x:c>
      <x:c r="F220" s="14" t="str">
        <x:v>Office Supplies</x:v>
      </x:c>
      <x:c r="G220" s="14" t="str">
        <x:v>Desk Organizer</x:v>
      </x:c>
      <x:c r="H220" s="47" t="n">
        <x:v>2</x:v>
      </x:c>
      <x:c r="I220" s="35" t="n">
        <x:v>645</x:v>
      </x:c>
      <x:c r="J220" s="41" t="n">
        <x:v>0.1</x:v>
      </x:c>
      <x:c r="K220" s="35" t="n">
        <x:f>ROUND(H220*I220*(1-J220),0)</x:f>
        <x:v>1161</x:v>
      </x:c>
      <x:c r="L220" s="35" t="n">
        <x:f>ROUND(K220*IF(F220="Electronics",18%,IF(F220="Office Supplies",22%,IF(F220="Furniture",15%,25%))),0)</x:f>
        <x:v>255</x:v>
      </x:c>
      <x:c r="M220" s="14" t="str">
        <x:v>Debit Card</x:v>
      </x:c>
      <x:c r="N220" s="15" t="str">
        <x:v>Consumer</x:v>
      </x:c>
    </x:row>
    <x:row r="221">
      <x:c r="A221" s="13" t="str">
        <x:v>ORD-0220</x:v>
      </x:c>
      <x:c r="B221" s="29" t="n">
        <x:v>45994</x:v>
      </x:c>
      <x:c r="C221" s="14" t="str">
        <x:f>TEXT(B221,"mmm-yyyy")</x:f>
        <x:v>Dec-2025</x:v>
      </x:c>
      <x:c r="D221" s="14" t="str">
        <x:v>Pune</x:v>
      </x:c>
      <x:c r="E221" s="14" t="str">
        <x:v>West</x:v>
      </x:c>
      <x:c r="F221" s="14" t="str">
        <x:v>Accessories</x:v>
      </x:c>
      <x:c r="G221" s="14" t="str">
        <x:v>Water Bottle</x:v>
      </x:c>
      <x:c r="H221" s="47" t="n">
        <x:v>3</x:v>
      </x:c>
      <x:c r="I221" s="35" t="n">
        <x:v>363</x:v>
      </x:c>
      <x:c r="J221" s="41" t="n">
        <x:v>0</x:v>
      </x:c>
      <x:c r="K221" s="35" t="n">
        <x:f>ROUND(H221*I221*(1-J221),0)</x:f>
        <x:v>1089</x:v>
      </x:c>
      <x:c r="L221" s="35" t="n">
        <x:f>ROUND(K221*IF(F221="Electronics",18%,IF(F221="Office Supplies",22%,IF(F221="Furniture",15%,25%))),0)</x:f>
        <x:v>272</x:v>
      </x:c>
      <x:c r="M221" s="14" t="str">
        <x:v>Debit Card</x:v>
      </x:c>
      <x:c r="N221" s="15" t="str">
        <x:v>Home Office</x:v>
      </x:c>
    </x:row>
    <x:row r="222">
      <x:c r="A222" s="13" t="str">
        <x:v>ORD-0221</x:v>
      </x:c>
      <x:c r="B222" s="29" t="n">
        <x:v>45831</x:v>
      </x:c>
      <x:c r="C222" s="14" t="str">
        <x:f>TEXT(B222,"mmm-yyyy")</x:f>
        <x:v>Jun-2025</x:v>
      </x:c>
      <x:c r="D222" s="14" t="str">
        <x:v>Mumbai</x:v>
      </x:c>
      <x:c r="E222" s="14" t="str">
        <x:v>West</x:v>
      </x:c>
      <x:c r="F222" s="14" t="str">
        <x:v>Accessories</x:v>
      </x:c>
      <x:c r="G222" s="14" t="str">
        <x:v>Laptop Sleeve</x:v>
      </x:c>
      <x:c r="H222" s="47" t="n">
        <x:v>4</x:v>
      </x:c>
      <x:c r="I222" s="35" t="n">
        <x:v>695</x:v>
      </x:c>
      <x:c r="J222" s="41" t="n">
        <x:v>0.1</x:v>
      </x:c>
      <x:c r="K222" s="35" t="n">
        <x:f>ROUND(H222*I222*(1-J222),0)</x:f>
        <x:v>2502</x:v>
      </x:c>
      <x:c r="L222" s="35" t="n">
        <x:f>ROUND(K222*IF(F222="Electronics",18%,IF(F222="Office Supplies",22%,IF(F222="Furniture",15%,25%))),0)</x:f>
        <x:v>626</x:v>
      </x:c>
      <x:c r="M222" s="14" t="str">
        <x:v>Credit Card</x:v>
      </x:c>
      <x:c r="N222" s="15" t="str">
        <x:v>Consumer</x:v>
      </x:c>
    </x:row>
    <x:row r="223">
      <x:c r="A223" s="13" t="str">
        <x:v>ORD-0222</x:v>
      </x:c>
      <x:c r="B223" s="29" t="n">
        <x:v>45690</x:v>
      </x:c>
      <x:c r="C223" s="14" t="str">
        <x:f>TEXT(B223,"mmm-yyyy")</x:f>
        <x:v>Feb-2025</x:v>
      </x:c>
      <x:c r="D223" s="14" t="str">
        <x:v>Jaipur</x:v>
      </x:c>
      <x:c r="E223" s="14" t="str">
        <x:v>North</x:v>
      </x:c>
      <x:c r="F223" s="14" t="str">
        <x:v>Electronics</x:v>
      </x:c>
      <x:c r="G223" s="14" t="str">
        <x:v>Laptop Stand</x:v>
      </x:c>
      <x:c r="H223" s="47" t="n">
        <x:v>2</x:v>
      </x:c>
      <x:c r="I223" s="35" t="n">
        <x:v>1204</x:v>
      </x:c>
      <x:c r="J223" s="41" t="n">
        <x:v>0</x:v>
      </x:c>
      <x:c r="K223" s="35" t="n">
        <x:f>ROUND(H223*I223*(1-J223),0)</x:f>
        <x:v>2408</x:v>
      </x:c>
      <x:c r="L223" s="35" t="n">
        <x:f>ROUND(K223*IF(F223="Electronics",18%,IF(F223="Office Supplies",22%,IF(F223="Furniture",15%,25%))),0)</x:f>
        <x:v>433</x:v>
      </x:c>
      <x:c r="M223" s="14" t="str">
        <x:v>UPI</x:v>
      </x:c>
      <x:c r="N223" s="15" t="str">
        <x:v>Corporate</x:v>
      </x:c>
    </x:row>
    <x:row r="224">
      <x:c r="A224" s="13" t="str">
        <x:v>ORD-0223</x:v>
      </x:c>
      <x:c r="B224" s="29" t="n">
        <x:v>45816</x:v>
      </x:c>
      <x:c r="C224" s="14" t="str">
        <x:f>TEXT(B224,"mmm-yyyy")</x:f>
        <x:v>Jun-2025</x:v>
      </x:c>
      <x:c r="D224" s="14" t="str">
        <x:v>Kolkata</x:v>
      </x:c>
      <x:c r="E224" s="14" t="str">
        <x:v>East</x:v>
      </x:c>
      <x:c r="F224" s="14" t="str">
        <x:v>Office Supplies</x:v>
      </x:c>
      <x:c r="G224" s="14" t="str">
        <x:v>Ball Pen Set</x:v>
      </x:c>
      <x:c r="H224" s="47" t="n">
        <x:v>8</x:v>
      </x:c>
      <x:c r="I224" s="35" t="n">
        <x:v>200</x:v>
      </x:c>
      <x:c r="J224" s="41" t="n">
        <x:v>0</x:v>
      </x:c>
      <x:c r="K224" s="35" t="n">
        <x:f>ROUND(H224*I224*(1-J224),0)</x:f>
        <x:v>1600</x:v>
      </x:c>
      <x:c r="L224" s="35" t="n">
        <x:f>ROUND(K224*IF(F224="Electronics",18%,IF(F224="Office Supplies",22%,IF(F224="Furniture",15%,25%))),0)</x:f>
        <x:v>352</x:v>
      </x:c>
      <x:c r="M224" s="14" t="str">
        <x:v>Credit Card</x:v>
      </x:c>
      <x:c r="N224" s="15" t="str">
        <x:v>Corporate</x:v>
      </x:c>
    </x:row>
    <x:row r="225">
      <x:c r="A225" s="13" t="str">
        <x:v>ORD-0224</x:v>
      </x:c>
      <x:c r="B225" s="29" t="n">
        <x:v>45840</x:v>
      </x:c>
      <x:c r="C225" s="14" t="str">
        <x:f>TEXT(B225,"mmm-yyyy")</x:f>
        <x:v>Jul-2025</x:v>
      </x:c>
      <x:c r="D225" s="14" t="str">
        <x:v>Nagpur</x:v>
      </x:c>
      <x:c r="E225" s="14" t="str">
        <x:v>West</x:v>
      </x:c>
      <x:c r="F225" s="14" t="str">
        <x:v>Accessories</x:v>
      </x:c>
      <x:c r="G225" s="14" t="str">
        <x:v>Laptop Sleeve</x:v>
      </x:c>
      <x:c r="H225" s="47" t="n">
        <x:v>4</x:v>
      </x:c>
      <x:c r="I225" s="35" t="n">
        <x:v>674</x:v>
      </x:c>
      <x:c r="J225" s="41" t="n">
        <x:v>0.1</x:v>
      </x:c>
      <x:c r="K225" s="35" t="n">
        <x:f>ROUND(H225*I225*(1-J225),0)</x:f>
        <x:v>2426</x:v>
      </x:c>
      <x:c r="L225" s="35" t="n">
        <x:f>ROUND(K225*IF(F225="Electronics",18%,IF(F225="Office Supplies",22%,IF(F225="Furniture",15%,25%))),0)</x:f>
        <x:v>607</x:v>
      </x:c>
      <x:c r="M225" s="14" t="str">
        <x:v>Cash</x:v>
      </x:c>
      <x:c r="N225" s="15" t="str">
        <x:v>Corporate</x:v>
      </x:c>
    </x:row>
    <x:row r="226">
      <x:c r="A226" s="13" t="str">
        <x:v>ORD-0225</x:v>
      </x:c>
      <x:c r="B226" s="29" t="n">
        <x:v>45883</x:v>
      </x:c>
      <x:c r="C226" s="14" t="str">
        <x:f>TEXT(B226,"mmm-yyyy")</x:f>
        <x:v>Aug-2025</x:v>
      </x:c>
      <x:c r="D226" s="14" t="str">
        <x:v>Delhi</x:v>
      </x:c>
      <x:c r="E226" s="14" t="str">
        <x:v>North</x:v>
      </x:c>
      <x:c r="F226" s="14" t="str">
        <x:v>Office Supplies</x:v>
      </x:c>
      <x:c r="G226" s="14" t="str">
        <x:v>Desk Organizer</x:v>
      </x:c>
      <x:c r="H226" s="47" t="n">
        <x:v>8</x:v>
      </x:c>
      <x:c r="I226" s="35" t="n">
        <x:v>699</x:v>
      </x:c>
      <x:c r="J226" s="41" t="n">
        <x:v>0.05</x:v>
      </x:c>
      <x:c r="K226" s="35" t="n">
        <x:f>ROUND(H226*I226*(1-J226),0)</x:f>
        <x:v>5312</x:v>
      </x:c>
      <x:c r="L226" s="35" t="n">
        <x:f>ROUND(K226*IF(F226="Electronics",18%,IF(F226="Office Supplies",22%,IF(F226="Furniture",15%,25%))),0)</x:f>
        <x:v>1169</x:v>
      </x:c>
      <x:c r="M226" s="14" t="str">
        <x:v>Net Banking</x:v>
      </x:c>
      <x:c r="N226" s="15" t="str">
        <x:v>Corporate</x:v>
      </x:c>
    </x:row>
    <x:row r="227">
      <x:c r="A227" s="13" t="str">
        <x:v>ORD-0226</x:v>
      </x:c>
      <x:c r="B227" s="29" t="n">
        <x:v>45700</x:v>
      </x:c>
      <x:c r="C227" s="14" t="str">
        <x:f>TEXT(B227,"mmm-yyyy")</x:f>
        <x:v>Feb-2025</x:v>
      </x:c>
      <x:c r="D227" s="14" t="str">
        <x:v>Delhi</x:v>
      </x:c>
      <x:c r="E227" s="14" t="str">
        <x:v>North</x:v>
      </x:c>
      <x:c r="F227" s="14" t="str">
        <x:v>Electronics</x:v>
      </x:c>
      <x:c r="G227" s="14" t="str">
        <x:v>Wireless Mouse</x:v>
      </x:c>
      <x:c r="H227" s="47" t="n">
        <x:v>2</x:v>
      </x:c>
      <x:c r="I227" s="35" t="n">
        <x:v>862</x:v>
      </x:c>
      <x:c r="J227" s="41" t="n">
        <x:v>0</x:v>
      </x:c>
      <x:c r="K227" s="35" t="n">
        <x:f>ROUND(H227*I227*(1-J227),0)</x:f>
        <x:v>1724</x:v>
      </x:c>
      <x:c r="L227" s="35" t="n">
        <x:f>ROUND(K227*IF(F227="Electronics",18%,IF(F227="Office Supplies",22%,IF(F227="Furniture",15%,25%))),0)</x:f>
        <x:v>310</x:v>
      </x:c>
      <x:c r="M227" s="14" t="str">
        <x:v>Debit Card</x:v>
      </x:c>
      <x:c r="N227" s="15" t="str">
        <x:v>Corporate</x:v>
      </x:c>
    </x:row>
    <x:row r="228">
      <x:c r="A228" s="13" t="str">
        <x:v>ORD-0227</x:v>
      </x:c>
      <x:c r="B228" s="29" t="n">
        <x:v>45710</x:v>
      </x:c>
      <x:c r="C228" s="14" t="str">
        <x:f>TEXT(B228,"mmm-yyyy")</x:f>
        <x:v>Feb-2025</x:v>
      </x:c>
      <x:c r="D228" s="14" t="str">
        <x:v>Pune</x:v>
      </x:c>
      <x:c r="E228" s="14" t="str">
        <x:v>West</x:v>
      </x:c>
      <x:c r="F228" s="14" t="str">
        <x:v>Office Supplies</x:v>
      </x:c>
      <x:c r="G228" s="14" t="str">
        <x:v>Desk Organizer</x:v>
      </x:c>
      <x:c r="H228" s="47" t="n">
        <x:v>4</x:v>
      </x:c>
      <x:c r="I228" s="35" t="n">
        <x:v>677</x:v>
      </x:c>
      <x:c r="J228" s="41" t="n">
        <x:v>0.05</x:v>
      </x:c>
      <x:c r="K228" s="35" t="n">
        <x:f>ROUND(H228*I228*(1-J228),0)</x:f>
        <x:v>2573</x:v>
      </x:c>
      <x:c r="L228" s="35" t="n">
        <x:f>ROUND(K228*IF(F228="Electronics",18%,IF(F228="Office Supplies",22%,IF(F228="Furniture",15%,25%))),0)</x:f>
        <x:v>566</x:v>
      </x:c>
      <x:c r="M228" s="14" t="str">
        <x:v>Cash</x:v>
      </x:c>
      <x:c r="N228" s="15" t="str">
        <x:v>Consumer</x:v>
      </x:c>
    </x:row>
    <x:row r="229">
      <x:c r="A229" s="13" t="str">
        <x:v>ORD-0228</x:v>
      </x:c>
      <x:c r="B229" s="29" t="n">
        <x:v>46011</x:v>
      </x:c>
      <x:c r="C229" s="14" t="str">
        <x:f>TEXT(B229,"mmm-yyyy")</x:f>
        <x:v>Dec-2025</x:v>
      </x:c>
      <x:c r="D229" s="14" t="str">
        <x:v>Jaipur</x:v>
      </x:c>
      <x:c r="E229" s="14" t="str">
        <x:v>North</x:v>
      </x:c>
      <x:c r="F229" s="14" t="str">
        <x:v>Office Supplies</x:v>
      </x:c>
      <x:c r="G229" s="14" t="str">
        <x:v>Desk Organizer</x:v>
      </x:c>
      <x:c r="H229" s="47" t="n">
        <x:v>2</x:v>
      </x:c>
      <x:c r="I229" s="35" t="n">
        <x:v>724</x:v>
      </x:c>
      <x:c r="J229" s="41" t="n">
        <x:v>0.15</x:v>
      </x:c>
      <x:c r="K229" s="35" t="n">
        <x:f>ROUND(H229*I229*(1-J229),0)</x:f>
        <x:v>1231</x:v>
      </x:c>
      <x:c r="L229" s="35" t="n">
        <x:f>ROUND(K229*IF(F229="Electronics",18%,IF(F229="Office Supplies",22%,IF(F229="Furniture",15%,25%))),0)</x:f>
        <x:v>271</x:v>
      </x:c>
      <x:c r="M229" s="14" t="str">
        <x:v>Net Banking</x:v>
      </x:c>
      <x:c r="N229" s="15" t="str">
        <x:v>Corporate</x:v>
      </x:c>
    </x:row>
    <x:row r="230">
      <x:c r="A230" s="13" t="str">
        <x:v>ORD-0229</x:v>
      </x:c>
      <x:c r="B230" s="29" t="n">
        <x:v>45798</x:v>
      </x:c>
      <x:c r="C230" s="14" t="str">
        <x:f>TEXT(B230,"mmm-yyyy")</x:f>
        <x:v>May-2025</x:v>
      </x:c>
      <x:c r="D230" s="14" t="str">
        <x:v>Nagpur</x:v>
      </x:c>
      <x:c r="E230" s="14" t="str">
        <x:v>West</x:v>
      </x:c>
      <x:c r="F230" s="14" t="str">
        <x:v>Electronics</x:v>
      </x:c>
      <x:c r="G230" s="14" t="str">
        <x:v>Wireless Mouse</x:v>
      </x:c>
      <x:c r="H230" s="47" t="n">
        <x:v>4</x:v>
      </x:c>
      <x:c r="I230" s="35" t="n">
        <x:v>787</x:v>
      </x:c>
      <x:c r="J230" s="41" t="n">
        <x:v>0.05</x:v>
      </x:c>
      <x:c r="K230" s="35" t="n">
        <x:f>ROUND(H230*I230*(1-J230),0)</x:f>
        <x:v>2991</x:v>
      </x:c>
      <x:c r="L230" s="35" t="n">
        <x:f>ROUND(K230*IF(F230="Electronics",18%,IF(F230="Office Supplies",22%,IF(F230="Furniture",15%,25%))),0)</x:f>
        <x:v>538</x:v>
      </x:c>
      <x:c r="M230" s="14" t="str">
        <x:v>Credit Card</x:v>
      </x:c>
      <x:c r="N230" s="15" t="str">
        <x:v>Consumer</x:v>
      </x:c>
    </x:row>
    <x:row r="231">
      <x:c r="A231" s="13" t="str">
        <x:v>ORD-0230</x:v>
      </x:c>
      <x:c r="B231" s="29" t="n">
        <x:v>45731</x:v>
      </x:c>
      <x:c r="C231" s="14" t="str">
        <x:f>TEXT(B231,"mmm-yyyy")</x:f>
        <x:v>Mar-2025</x:v>
      </x:c>
      <x:c r="D231" s="14" t="str">
        <x:v>Bhopal</x:v>
      </x:c>
      <x:c r="E231" s="14" t="str">
        <x:v>Central</x:v>
      </x:c>
      <x:c r="F231" s="14" t="str">
        <x:v>Furniture</x:v>
      </x:c>
      <x:c r="G231" s="14" t="str">
        <x:v>Bookshelf</x:v>
      </x:c>
      <x:c r="H231" s="47" t="n">
        <x:v>5</x:v>
      </x:c>
      <x:c r="I231" s="35" t="n">
        <x:v>3239</x:v>
      </x:c>
      <x:c r="J231" s="41" t="n">
        <x:v>0</x:v>
      </x:c>
      <x:c r="K231" s="35" t="n">
        <x:f>ROUND(H231*I231*(1-J231),0)</x:f>
        <x:v>16195</x:v>
      </x:c>
      <x:c r="L231" s="35" t="n">
        <x:f>ROUND(K231*IF(F231="Electronics",18%,IF(F231="Office Supplies",22%,IF(F231="Furniture",15%,25%))),0)</x:f>
        <x:v>2429</x:v>
      </x:c>
      <x:c r="M231" s="14" t="str">
        <x:v>Debit Card</x:v>
      </x:c>
      <x:c r="N231" s="15" t="str">
        <x:v>Corporate</x:v>
      </x:c>
    </x:row>
    <x:row r="232">
      <x:c r="A232" s="13" t="str">
        <x:v>ORD-0231</x:v>
      </x:c>
      <x:c r="B232" s="29" t="n">
        <x:v>45854</x:v>
      </x:c>
      <x:c r="C232" s="14" t="str">
        <x:f>TEXT(B232,"mmm-yyyy")</x:f>
        <x:v>Jul-2025</x:v>
      </x:c>
      <x:c r="D232" s="14" t="str">
        <x:v>Bhopal</x:v>
      </x:c>
      <x:c r="E232" s="14" t="str">
        <x:v>Central</x:v>
      </x:c>
      <x:c r="F232" s="14" t="str">
        <x:v>Electronics</x:v>
      </x:c>
      <x:c r="G232" s="14" t="str">
        <x:v>Laptop Stand</x:v>
      </x:c>
      <x:c r="H232" s="47" t="n">
        <x:v>3</x:v>
      </x:c>
      <x:c r="I232" s="35" t="n">
        <x:v>1336</x:v>
      </x:c>
      <x:c r="J232" s="41" t="n">
        <x:v>0.15</x:v>
      </x:c>
      <x:c r="K232" s="35" t="n">
        <x:f>ROUND(H232*I232*(1-J232),0)</x:f>
        <x:v>3407</x:v>
      </x:c>
      <x:c r="L232" s="35" t="n">
        <x:f>ROUND(K232*IF(F232="Electronics",18%,IF(F232="Office Supplies",22%,IF(F232="Furniture",15%,25%))),0)</x:f>
        <x:v>613</x:v>
      </x:c>
      <x:c r="M232" s="14" t="str">
        <x:v>Debit Card</x:v>
      </x:c>
      <x:c r="N232" s="15" t="str">
        <x:v>Corporate</x:v>
      </x:c>
    </x:row>
    <x:row r="233">
      <x:c r="A233" s="13" t="str">
        <x:v>ORD-0232</x:v>
      </x:c>
      <x:c r="B233" s="29" t="n">
        <x:v>45697</x:v>
      </x:c>
      <x:c r="C233" s="14" t="str">
        <x:f>TEXT(B233,"mmm-yyyy")</x:f>
        <x:v>Feb-2025</x:v>
      </x:c>
      <x:c r="D233" s="14" t="str">
        <x:v>Bhopal</x:v>
      </x:c>
      <x:c r="E233" s="14" t="str">
        <x:v>Central</x:v>
      </x:c>
      <x:c r="F233" s="14" t="str">
        <x:v>Electronics</x:v>
      </x:c>
      <x:c r="G233" s="14" t="str">
        <x:v>Bluetooth Speaker</x:v>
      </x:c>
      <x:c r="H233" s="47" t="n">
        <x:v>3</x:v>
      </x:c>
      <x:c r="I233" s="35" t="n">
        <x:v>1475</x:v>
      </x:c>
      <x:c r="J233" s="41" t="n">
        <x:v>0.1</x:v>
      </x:c>
      <x:c r="K233" s="35" t="n">
        <x:f>ROUND(H233*I233*(1-J233),0)</x:f>
        <x:v>3983</x:v>
      </x:c>
      <x:c r="L233" s="35" t="n">
        <x:f>ROUND(K233*IF(F233="Electronics",18%,IF(F233="Office Supplies",22%,IF(F233="Furniture",15%,25%))),0)</x:f>
        <x:v>717</x:v>
      </x:c>
      <x:c r="M233" s="14" t="str">
        <x:v>Credit Card</x:v>
      </x:c>
      <x:c r="N233" s="15" t="str">
        <x:v>Consumer</x:v>
      </x:c>
    </x:row>
    <x:row r="234">
      <x:c r="A234" s="13" t="str">
        <x:v>ORD-0233</x:v>
      </x:c>
      <x:c r="B234" s="29" t="n">
        <x:v>45671</x:v>
      </x:c>
      <x:c r="C234" s="14" t="str">
        <x:f>TEXT(B234,"mmm-yyyy")</x:f>
        <x:v>Jan-2025</x:v>
      </x:c>
      <x:c r="D234" s="14" t="str">
        <x:v>Mumbai</x:v>
      </x:c>
      <x:c r="E234" s="14" t="str">
        <x:v>West</x:v>
      </x:c>
      <x:c r="F234" s="14" t="str">
        <x:v>Office Supplies</x:v>
      </x:c>
      <x:c r="G234" s="14" t="str">
        <x:v>Printer Paper</x:v>
      </x:c>
      <x:c r="H234" s="47" t="n">
        <x:v>3</x:v>
      </x:c>
      <x:c r="I234" s="35" t="n">
        <x:v>425</x:v>
      </x:c>
      <x:c r="J234" s="41" t="n">
        <x:v>0</x:v>
      </x:c>
      <x:c r="K234" s="35" t="n">
        <x:f>ROUND(H234*I234*(1-J234),0)</x:f>
        <x:v>1275</x:v>
      </x:c>
      <x:c r="L234" s="35" t="n">
        <x:f>ROUND(K234*IF(F234="Electronics",18%,IF(F234="Office Supplies",22%,IF(F234="Furniture",15%,25%))),0)</x:f>
        <x:v>281</x:v>
      </x:c>
      <x:c r="M234" s="14" t="str">
        <x:v>Debit Card</x:v>
      </x:c>
      <x:c r="N234" s="15" t="str">
        <x:v>Home Office</x:v>
      </x:c>
    </x:row>
    <x:row r="235">
      <x:c r="A235" s="13" t="str">
        <x:v>ORD-0234</x:v>
      </x:c>
      <x:c r="B235" s="29" t="n">
        <x:v>45886</x:v>
      </x:c>
      <x:c r="C235" s="14" t="str">
        <x:f>TEXT(B235,"mmm-yyyy")</x:f>
        <x:v>Aug-2025</x:v>
      </x:c>
      <x:c r="D235" s="14" t="str">
        <x:v>Hyderabad</x:v>
      </x:c>
      <x:c r="E235" s="14" t="str">
        <x:v>South</x:v>
      </x:c>
      <x:c r="F235" s="14" t="str">
        <x:v>Furniture</x:v>
      </x:c>
      <x:c r="G235" s="14" t="str">
        <x:v>Study Table</x:v>
      </x:c>
      <x:c r="H235" s="47" t="n">
        <x:v>2</x:v>
      </x:c>
      <x:c r="I235" s="35" t="n">
        <x:v>7465</x:v>
      </x:c>
      <x:c r="J235" s="41" t="n">
        <x:v>0.05</x:v>
      </x:c>
      <x:c r="K235" s="35" t="n">
        <x:f>ROUND(H235*I235*(1-J235),0)</x:f>
        <x:v>14184</x:v>
      </x:c>
      <x:c r="L235" s="35" t="n">
        <x:f>ROUND(K235*IF(F235="Electronics",18%,IF(F235="Office Supplies",22%,IF(F235="Furniture",15%,25%))),0)</x:f>
        <x:v>2128</x:v>
      </x:c>
      <x:c r="M235" s="14" t="str">
        <x:v>UPI</x:v>
      </x:c>
      <x:c r="N235" s="15" t="str">
        <x:v>Consumer</x:v>
      </x:c>
    </x:row>
    <x:row r="236">
      <x:c r="A236" s="13" t="str">
        <x:v>ORD-0235</x:v>
      </x:c>
      <x:c r="B236" s="29" t="n">
        <x:v>45695</x:v>
      </x:c>
      <x:c r="C236" s="14" t="str">
        <x:f>TEXT(B236,"mmm-yyyy")</x:f>
        <x:v>Feb-2025</x:v>
      </x:c>
      <x:c r="D236" s="14" t="str">
        <x:v>Jaipur</x:v>
      </x:c>
      <x:c r="E236" s="14" t="str">
        <x:v>North</x:v>
      </x:c>
      <x:c r="F236" s="14" t="str">
        <x:v>Electronics</x:v>
      </x:c>
      <x:c r="G236" s="14" t="str">
        <x:v>Bluetooth Speaker</x:v>
      </x:c>
      <x:c r="H236" s="47" t="n">
        <x:v>6</x:v>
      </x:c>
      <x:c r="I236" s="35" t="n">
        <x:v>1486</x:v>
      </x:c>
      <x:c r="J236" s="41" t="n">
        <x:v>0</x:v>
      </x:c>
      <x:c r="K236" s="35" t="n">
        <x:f>ROUND(H236*I236*(1-J236),0)</x:f>
        <x:v>8916</x:v>
      </x:c>
      <x:c r="L236" s="35" t="n">
        <x:f>ROUND(K236*IF(F236="Electronics",18%,IF(F236="Office Supplies",22%,IF(F236="Furniture",15%,25%))),0)</x:f>
        <x:v>1605</x:v>
      </x:c>
      <x:c r="M236" s="14" t="str">
        <x:v>Debit Card</x:v>
      </x:c>
      <x:c r="N236" s="15" t="str">
        <x:v>Home Office</x:v>
      </x:c>
    </x:row>
    <x:row r="237">
      <x:c r="A237" s="13" t="str">
        <x:v>ORD-0236</x:v>
      </x:c>
      <x:c r="B237" s="29" t="n">
        <x:v>45835</x:v>
      </x:c>
      <x:c r="C237" s="14" t="str">
        <x:f>TEXT(B237,"mmm-yyyy")</x:f>
        <x:v>Jun-2025</x:v>
      </x:c>
      <x:c r="D237" s="14" t="str">
        <x:v>Pune</x:v>
      </x:c>
      <x:c r="E237" s="14" t="str">
        <x:v>West</x:v>
      </x:c>
      <x:c r="F237" s="14" t="str">
        <x:v>Furniture</x:v>
      </x:c>
      <x:c r="G237" s="14" t="str">
        <x:v>Office Chair</x:v>
      </x:c>
      <x:c r="H237" s="47" t="n">
        <x:v>3</x:v>
      </x:c>
      <x:c r="I237" s="35" t="n">
        <x:v>5312</x:v>
      </x:c>
      <x:c r="J237" s="41" t="n">
        <x:v>0.15</x:v>
      </x:c>
      <x:c r="K237" s="35" t="n">
        <x:f>ROUND(H237*I237*(1-J237),0)</x:f>
        <x:v>13546</x:v>
      </x:c>
      <x:c r="L237" s="35" t="n">
        <x:f>ROUND(K237*IF(F237="Electronics",18%,IF(F237="Office Supplies",22%,IF(F237="Furniture",15%,25%))),0)</x:f>
        <x:v>2032</x:v>
      </x:c>
      <x:c r="M237" s="14" t="str">
        <x:v>Credit Card</x:v>
      </x:c>
      <x:c r="N237" s="15" t="str">
        <x:v>Corporate</x:v>
      </x:c>
    </x:row>
    <x:row r="238">
      <x:c r="A238" s="13" t="str">
        <x:v>ORD-0237</x:v>
      </x:c>
      <x:c r="B238" s="29" t="n">
        <x:v>45918</x:v>
      </x:c>
      <x:c r="C238" s="14" t="str">
        <x:f>TEXT(B238,"mmm-yyyy")</x:f>
        <x:v>Sep-2025</x:v>
      </x:c>
      <x:c r="D238" s="14" t="str">
        <x:v>Hyderabad</x:v>
      </x:c>
      <x:c r="E238" s="14" t="str">
        <x:v>South</x:v>
      </x:c>
      <x:c r="F238" s="14" t="str">
        <x:v>Electronics</x:v>
      </x:c>
      <x:c r="G238" s="14" t="str">
        <x:v>Wireless Mouse</x:v>
      </x:c>
      <x:c r="H238" s="47" t="n">
        <x:v>8</x:v>
      </x:c>
      <x:c r="I238" s="35" t="n">
        <x:v>836</x:v>
      </x:c>
      <x:c r="J238" s="41" t="n">
        <x:v>0</x:v>
      </x:c>
      <x:c r="K238" s="35" t="n">
        <x:f>ROUND(H238*I238*(1-J238),0)</x:f>
        <x:v>6688</x:v>
      </x:c>
      <x:c r="L238" s="35" t="n">
        <x:f>ROUND(K238*IF(F238="Electronics",18%,IF(F238="Office Supplies",22%,IF(F238="Furniture",15%,25%))),0)</x:f>
        <x:v>1204</x:v>
      </x:c>
      <x:c r="M238" s="14" t="str">
        <x:v>Cash</x:v>
      </x:c>
      <x:c r="N238" s="15" t="str">
        <x:v>Consumer</x:v>
      </x:c>
    </x:row>
    <x:row r="239">
      <x:c r="A239" s="13" t="str">
        <x:v>ORD-0238</x:v>
      </x:c>
      <x:c r="B239" s="29" t="n">
        <x:v>45842</x:v>
      </x:c>
      <x:c r="C239" s="14" t="str">
        <x:f>TEXT(B239,"mmm-yyyy")</x:f>
        <x:v>Jul-2025</x:v>
      </x:c>
      <x:c r="D239" s="14" t="str">
        <x:v>Kolkata</x:v>
      </x:c>
      <x:c r="E239" s="14" t="str">
        <x:v>East</x:v>
      </x:c>
      <x:c r="F239" s="14" t="str">
        <x:v>Furniture</x:v>
      </x:c>
      <x:c r="G239" s="14" t="str">
        <x:v>Study Table</x:v>
      </x:c>
      <x:c r="H239" s="47" t="n">
        <x:v>2</x:v>
      </x:c>
      <x:c r="I239" s="35" t="n">
        <x:v>7339</x:v>
      </x:c>
      <x:c r="J239" s="41" t="n">
        <x:v>0.05</x:v>
      </x:c>
      <x:c r="K239" s="35" t="n">
        <x:f>ROUND(H239*I239*(1-J239),0)</x:f>
        <x:v>13944</x:v>
      </x:c>
      <x:c r="L239" s="35" t="n">
        <x:f>ROUND(K239*IF(F239="Electronics",18%,IF(F239="Office Supplies",22%,IF(F239="Furniture",15%,25%))),0)</x:f>
        <x:v>2092</x:v>
      </x:c>
      <x:c r="M239" s="14" t="str">
        <x:v>Net Banking</x:v>
      </x:c>
      <x:c r="N239" s="15" t="str">
        <x:v>Consumer</x:v>
      </x:c>
    </x:row>
    <x:row r="240">
      <x:c r="A240" s="13" t="str">
        <x:v>ORD-0239</x:v>
      </x:c>
      <x:c r="B240" s="29" t="n">
        <x:v>45691</x:v>
      </x:c>
      <x:c r="C240" s="14" t="str">
        <x:f>TEXT(B240,"mmm-yyyy")</x:f>
        <x:v>Feb-2025</x:v>
      </x:c>
      <x:c r="D240" s="14" t="str">
        <x:v>Bengaluru</x:v>
      </x:c>
      <x:c r="E240" s="14" t="str">
        <x:v>South</x:v>
      </x:c>
      <x:c r="F240" s="14" t="str">
        <x:v>Office Supplies</x:v>
      </x:c>
      <x:c r="G240" s="14" t="str">
        <x:v>Ball Pen Set</x:v>
      </x:c>
      <x:c r="H240" s="47" t="n">
        <x:v>8</x:v>
      </x:c>
      <x:c r="I240" s="35" t="n">
        <x:v>206</x:v>
      </x:c>
      <x:c r="J240" s="41" t="n">
        <x:v>0.05</x:v>
      </x:c>
      <x:c r="K240" s="35" t="n">
        <x:f>ROUND(H240*I240*(1-J240),0)</x:f>
        <x:v>1566</x:v>
      </x:c>
      <x:c r="L240" s="35" t="n">
        <x:f>ROUND(K240*IF(F240="Electronics",18%,IF(F240="Office Supplies",22%,IF(F240="Furniture",15%,25%))),0)</x:f>
        <x:v>345</x:v>
      </x:c>
      <x:c r="M240" s="14" t="str">
        <x:v>Cash</x:v>
      </x:c>
      <x:c r="N240" s="15" t="str">
        <x:v>Home Office</x:v>
      </x:c>
    </x:row>
    <x:row r="241">
      <x:c r="A241" s="13" t="str">
        <x:v>ORD-0240</x:v>
      </x:c>
      <x:c r="B241" s="29" t="n">
        <x:v>45695</x:v>
      </x:c>
      <x:c r="C241" s="14" t="str">
        <x:f>TEXT(B241,"mmm-yyyy")</x:f>
        <x:v>Feb-2025</x:v>
      </x:c>
      <x:c r="D241" s="14" t="str">
        <x:v>Mumbai</x:v>
      </x:c>
      <x:c r="E241" s="14" t="str">
        <x:v>West</x:v>
      </x:c>
      <x:c r="F241" s="14" t="str">
        <x:v>Office Supplies</x:v>
      </x:c>
      <x:c r="G241" s="14" t="str">
        <x:v>Desk Organizer</x:v>
      </x:c>
      <x:c r="H241" s="47" t="n">
        <x:v>3</x:v>
      </x:c>
      <x:c r="I241" s="35" t="n">
        <x:v>693</x:v>
      </x:c>
      <x:c r="J241" s="41" t="n">
        <x:v>0.1</x:v>
      </x:c>
      <x:c r="K241" s="35" t="n">
        <x:f>ROUND(H241*I241*(1-J241),0)</x:f>
        <x:v>1871</x:v>
      </x:c>
      <x:c r="L241" s="35" t="n">
        <x:f>ROUND(K241*IF(F241="Electronics",18%,IF(F241="Office Supplies",22%,IF(F241="Furniture",15%,25%))),0)</x:f>
        <x:v>412</x:v>
      </x:c>
      <x:c r="M241" s="14" t="str">
        <x:v>Debit Card</x:v>
      </x:c>
      <x:c r="N241" s="15" t="str">
        <x:v>Consumer</x:v>
      </x:c>
    </x:row>
    <x:row r="242">
      <x:c r="A242" s="13" t="str">
        <x:v>ORD-0241</x:v>
      </x:c>
      <x:c r="B242" s="29" t="n">
        <x:v>45940</x:v>
      </x:c>
      <x:c r="C242" s="14" t="str">
        <x:f>TEXT(B242,"mmm-yyyy")</x:f>
        <x:v>Oct-2025</x:v>
      </x:c>
      <x:c r="D242" s="14" t="str">
        <x:v>Bhopal</x:v>
      </x:c>
      <x:c r="E242" s="14" t="str">
        <x:v>Central</x:v>
      </x:c>
      <x:c r="F242" s="14" t="str">
        <x:v>Electronics</x:v>
      </x:c>
      <x:c r="G242" s="14" t="str">
        <x:v>Bluetooth Speaker</x:v>
      </x:c>
      <x:c r="H242" s="47" t="n">
        <x:v>4</x:v>
      </x:c>
      <x:c r="I242" s="35" t="n">
        <x:v>1410</x:v>
      </x:c>
      <x:c r="J242" s="41" t="n">
        <x:v>0.05</x:v>
      </x:c>
      <x:c r="K242" s="35" t="n">
        <x:f>ROUND(H242*I242*(1-J242),0)</x:f>
        <x:v>5358</x:v>
      </x:c>
      <x:c r="L242" s="35" t="n">
        <x:f>ROUND(K242*IF(F242="Electronics",18%,IF(F242="Office Supplies",22%,IF(F242="Furniture",15%,25%))),0)</x:f>
        <x:v>964</x:v>
      </x:c>
      <x:c r="M242" s="14" t="str">
        <x:v>UPI</x:v>
      </x:c>
      <x:c r="N242" s="15" t="str">
        <x:v>Consumer</x:v>
      </x:c>
    </x:row>
    <x:row r="243">
      <x:c r="A243" s="13" t="str">
        <x:v>ORD-0242</x:v>
      </x:c>
      <x:c r="B243" s="29" t="n">
        <x:v>45923</x:v>
      </x:c>
      <x:c r="C243" s="14" t="str">
        <x:f>TEXT(B243,"mmm-yyyy")</x:f>
        <x:v>Sep-2025</x:v>
      </x:c>
      <x:c r="D243" s="14" t="str">
        <x:v>Mumbai</x:v>
      </x:c>
      <x:c r="E243" s="14" t="str">
        <x:v>West</x:v>
      </x:c>
      <x:c r="F243" s="14" t="str">
        <x:v>Office Supplies</x:v>
      </x:c>
      <x:c r="G243" s="14" t="str">
        <x:v>Notebook Pack</x:v>
      </x:c>
      <x:c r="H243" s="47" t="n">
        <x:v>1</x:v>
      </x:c>
      <x:c r="I243" s="35" t="n">
        <x:v>242</x:v>
      </x:c>
      <x:c r="J243" s="41" t="n">
        <x:v>0.1</x:v>
      </x:c>
      <x:c r="K243" s="35" t="n">
        <x:f>ROUND(H243*I243*(1-J243),0)</x:f>
        <x:v>218</x:v>
      </x:c>
      <x:c r="L243" s="35" t="n">
        <x:f>ROUND(K243*IF(F243="Electronics",18%,IF(F243="Office Supplies",22%,IF(F243="Furniture",15%,25%))),0)</x:f>
        <x:v>48</x:v>
      </x:c>
      <x:c r="M243" s="14" t="str">
        <x:v>Debit Card</x:v>
      </x:c>
      <x:c r="N243" s="15" t="str">
        <x:v>Home Office</x:v>
      </x:c>
    </x:row>
    <x:row r="244">
      <x:c r="A244" s="13" t="str">
        <x:v>ORD-0243</x:v>
      </x:c>
      <x:c r="B244" s="29" t="n">
        <x:v>45803</x:v>
      </x:c>
      <x:c r="C244" s="14" t="str">
        <x:f>TEXT(B244,"mmm-yyyy")</x:f>
        <x:v>May-2025</x:v>
      </x:c>
      <x:c r="D244" s="14" t="str">
        <x:v>Pune</x:v>
      </x:c>
      <x:c r="E244" s="14" t="str">
        <x:v>West</x:v>
      </x:c>
      <x:c r="F244" s="14" t="str">
        <x:v>Office Supplies</x:v>
      </x:c>
      <x:c r="G244" s="14" t="str">
        <x:v>Notebook Pack</x:v>
      </x:c>
      <x:c r="H244" s="47" t="n">
        <x:v>1</x:v>
      </x:c>
      <x:c r="I244" s="35" t="n">
        <x:v>267</x:v>
      </x:c>
      <x:c r="J244" s="41" t="n">
        <x:v>0</x:v>
      </x:c>
      <x:c r="K244" s="35" t="n">
        <x:f>ROUND(H244*I244*(1-J244),0)</x:f>
        <x:v>267</x:v>
      </x:c>
      <x:c r="L244" s="35" t="n">
        <x:f>ROUND(K244*IF(F244="Electronics",18%,IF(F244="Office Supplies",22%,IF(F244="Furniture",15%,25%))),0)</x:f>
        <x:v>59</x:v>
      </x:c>
      <x:c r="M244" s="14" t="str">
        <x:v>Debit Card</x:v>
      </x:c>
      <x:c r="N244" s="15" t="str">
        <x:v>Home Office</x:v>
      </x:c>
    </x:row>
    <x:row r="245">
      <x:c r="A245" s="13" t="str">
        <x:v>ORD-0244</x:v>
      </x:c>
      <x:c r="B245" s="29" t="n">
        <x:v>45931</x:v>
      </x:c>
      <x:c r="C245" s="14" t="str">
        <x:f>TEXT(B245,"mmm-yyyy")</x:f>
        <x:v>Oct-2025</x:v>
      </x:c>
      <x:c r="D245" s="14" t="str">
        <x:v>Pune</x:v>
      </x:c>
      <x:c r="E245" s="14" t="str">
        <x:v>West</x:v>
      </x:c>
      <x:c r="F245" s="14" t="str">
        <x:v>Furniture</x:v>
      </x:c>
      <x:c r="G245" s="14" t="str">
        <x:v>Office Chair</x:v>
      </x:c>
      <x:c r="H245" s="47" t="n">
        <x:v>3</x:v>
      </x:c>
      <x:c r="I245" s="35" t="n">
        <x:v>5072</x:v>
      </x:c>
      <x:c r="J245" s="41" t="n">
        <x:v>0.05</x:v>
      </x:c>
      <x:c r="K245" s="35" t="n">
        <x:f>ROUND(H245*I245*(1-J245),0)</x:f>
        <x:v>14455</x:v>
      </x:c>
      <x:c r="L245" s="35" t="n">
        <x:f>ROUND(K245*IF(F245="Electronics",18%,IF(F245="Office Supplies",22%,IF(F245="Furniture",15%,25%))),0)</x:f>
        <x:v>2168</x:v>
      </x:c>
      <x:c r="M245" s="14" t="str">
        <x:v>Credit Card</x:v>
      </x:c>
      <x:c r="N245" s="15" t="str">
        <x:v>Home Office</x:v>
      </x:c>
    </x:row>
    <x:row r="246">
      <x:c r="A246" s="13" t="str">
        <x:v>ORD-0245</x:v>
      </x:c>
      <x:c r="B246" s="29" t="n">
        <x:v>45977</x:v>
      </x:c>
      <x:c r="C246" s="14" t="str">
        <x:f>TEXT(B246,"mmm-yyyy")</x:f>
        <x:v>Nov-2025</x:v>
      </x:c>
      <x:c r="D246" s="14" t="str">
        <x:v>Bhopal</x:v>
      </x:c>
      <x:c r="E246" s="14" t="str">
        <x:v>Central</x:v>
      </x:c>
      <x:c r="F246" s="14" t="str">
        <x:v>Office Supplies</x:v>
      </x:c>
      <x:c r="G246" s="14" t="str">
        <x:v>Desk Organizer</x:v>
      </x:c>
      <x:c r="H246" s="47" t="n">
        <x:v>5</x:v>
      </x:c>
      <x:c r="I246" s="35" t="n">
        <x:v>706</x:v>
      </x:c>
      <x:c r="J246" s="41" t="n">
        <x:v>0.1</x:v>
      </x:c>
      <x:c r="K246" s="35" t="n">
        <x:f>ROUND(H246*I246*(1-J246),0)</x:f>
        <x:v>3177</x:v>
      </x:c>
      <x:c r="L246" s="35" t="n">
        <x:f>ROUND(K246*IF(F246="Electronics",18%,IF(F246="Office Supplies",22%,IF(F246="Furniture",15%,25%))),0)</x:f>
        <x:v>699</x:v>
      </x:c>
      <x:c r="M246" s="14" t="str">
        <x:v>UPI</x:v>
      </x:c>
      <x:c r="N246" s="15" t="str">
        <x:v>Consumer</x:v>
      </x:c>
    </x:row>
    <x:row r="247">
      <x:c r="A247" s="13" t="str">
        <x:v>ORD-0246</x:v>
      </x:c>
      <x:c r="B247" s="29" t="n">
        <x:v>45681</x:v>
      </x:c>
      <x:c r="C247" s="14" t="str">
        <x:f>TEXT(B247,"mmm-yyyy")</x:f>
        <x:v>Jan-2025</x:v>
      </x:c>
      <x:c r="D247" s="14" t="str">
        <x:v>Bhopal</x:v>
      </x:c>
      <x:c r="E247" s="14" t="str">
        <x:v>Central</x:v>
      </x:c>
      <x:c r="F247" s="14" t="str">
        <x:v>Office Supplies</x:v>
      </x:c>
      <x:c r="G247" s="14" t="str">
        <x:v>Notebook Pack</x:v>
      </x:c>
      <x:c r="H247" s="47" t="n">
        <x:v>4</x:v>
      </x:c>
      <x:c r="I247" s="35" t="n">
        <x:v>260</x:v>
      </x:c>
      <x:c r="J247" s="41" t="n">
        <x:v>0.05</x:v>
      </x:c>
      <x:c r="K247" s="35" t="n">
        <x:f>ROUND(H247*I247*(1-J247),0)</x:f>
        <x:v>988</x:v>
      </x:c>
      <x:c r="L247" s="35" t="n">
        <x:f>ROUND(K247*IF(F247="Electronics",18%,IF(F247="Office Supplies",22%,IF(F247="Furniture",15%,25%))),0)</x:f>
        <x:v>217</x:v>
      </x:c>
      <x:c r="M247" s="14" t="str">
        <x:v>UPI</x:v>
      </x:c>
      <x:c r="N247" s="15" t="str">
        <x:v>Corporate</x:v>
      </x:c>
    </x:row>
    <x:row r="248">
      <x:c r="A248" s="13" t="str">
        <x:v>ORD-0247</x:v>
      </x:c>
      <x:c r="B248" s="29" t="n">
        <x:v>45979</x:v>
      </x:c>
      <x:c r="C248" s="14" t="str">
        <x:f>TEXT(B248,"mmm-yyyy")</x:f>
        <x:v>Nov-2025</x:v>
      </x:c>
      <x:c r="D248" s="14" t="str">
        <x:v>Kolkata</x:v>
      </x:c>
      <x:c r="E248" s="14" t="str">
        <x:v>East</x:v>
      </x:c>
      <x:c r="F248" s="14" t="str">
        <x:v>Office Supplies</x:v>
      </x:c>
      <x:c r="G248" s="14" t="str">
        <x:v>Notebook Pack</x:v>
      </x:c>
      <x:c r="H248" s="47" t="n">
        <x:v>3</x:v>
      </x:c>
      <x:c r="I248" s="35" t="n">
        <x:v>241</x:v>
      </x:c>
      <x:c r="J248" s="41" t="n">
        <x:v>0</x:v>
      </x:c>
      <x:c r="K248" s="35" t="n">
        <x:f>ROUND(H248*I248*(1-J248),0)</x:f>
        <x:v>723</x:v>
      </x:c>
      <x:c r="L248" s="35" t="n">
        <x:f>ROUND(K248*IF(F248="Electronics",18%,IF(F248="Office Supplies",22%,IF(F248="Furniture",15%,25%))),0)</x:f>
        <x:v>159</x:v>
      </x:c>
      <x:c r="M248" s="14" t="str">
        <x:v>Cash</x:v>
      </x:c>
      <x:c r="N248" s="15" t="str">
        <x:v>Corporate</x:v>
      </x:c>
    </x:row>
    <x:row r="249">
      <x:c r="A249" s="13" t="str">
        <x:v>ORD-0248</x:v>
      </x:c>
      <x:c r="B249" s="29" t="n">
        <x:v>45890</x:v>
      </x:c>
      <x:c r="C249" s="14" t="str">
        <x:f>TEXT(B249,"mmm-yyyy")</x:f>
        <x:v>Aug-2025</x:v>
      </x:c>
      <x:c r="D249" s="14" t="str">
        <x:v>Pune</x:v>
      </x:c>
      <x:c r="E249" s="14" t="str">
        <x:v>West</x:v>
      </x:c>
      <x:c r="F249" s="14" t="str">
        <x:v>Accessories</x:v>
      </x:c>
      <x:c r="G249" s="14" t="str">
        <x:v>Backpack</x:v>
      </x:c>
      <x:c r="H249" s="47" t="n">
        <x:v>1</x:v>
      </x:c>
      <x:c r="I249" s="35" t="n">
        <x:v>1187</x:v>
      </x:c>
      <x:c r="J249" s="41" t="n">
        <x:v>0.05</x:v>
      </x:c>
      <x:c r="K249" s="35" t="n">
        <x:f>ROUND(H249*I249*(1-J249),0)</x:f>
        <x:v>1128</x:v>
      </x:c>
      <x:c r="L249" s="35" t="n">
        <x:f>ROUND(K249*IF(F249="Electronics",18%,IF(F249="Office Supplies",22%,IF(F249="Furniture",15%,25%))),0)</x:f>
        <x:v>282</x:v>
      </x:c>
      <x:c r="M249" s="14" t="str">
        <x:v>Credit Card</x:v>
      </x:c>
      <x:c r="N249" s="15" t="str">
        <x:v>Corporate</x:v>
      </x:c>
    </x:row>
    <x:row r="250">
      <x:c r="A250" s="13" t="str">
        <x:v>ORD-0249</x:v>
      </x:c>
      <x:c r="B250" s="29" t="n">
        <x:v>45968</x:v>
      </x:c>
      <x:c r="C250" s="14" t="str">
        <x:f>TEXT(B250,"mmm-yyyy")</x:f>
        <x:v>Nov-2025</x:v>
      </x:c>
      <x:c r="D250" s="14" t="str">
        <x:v>Mumbai</x:v>
      </x:c>
      <x:c r="E250" s="14" t="str">
        <x:v>West</x:v>
      </x:c>
      <x:c r="F250" s="14" t="str">
        <x:v>Office Supplies</x:v>
      </x:c>
      <x:c r="G250" s="14" t="str">
        <x:v>Desk Organizer</x:v>
      </x:c>
      <x:c r="H250" s="47" t="n">
        <x:v>5</x:v>
      </x:c>
      <x:c r="I250" s="35" t="n">
        <x:v>679</x:v>
      </x:c>
      <x:c r="J250" s="41" t="n">
        <x:v>0.2</x:v>
      </x:c>
      <x:c r="K250" s="35" t="n">
        <x:f>ROUND(H250*I250*(1-J250),0)</x:f>
        <x:v>2716</x:v>
      </x:c>
      <x:c r="L250" s="35" t="n">
        <x:f>ROUND(K250*IF(F250="Electronics",18%,IF(F250="Office Supplies",22%,IF(F250="Furniture",15%,25%))),0)</x:f>
        <x:v>598</x:v>
      </x:c>
      <x:c r="M250" s="14" t="str">
        <x:v>Debit Card</x:v>
      </x:c>
      <x:c r="N250" s="15" t="str">
        <x:v>Corporate</x:v>
      </x:c>
    </x:row>
    <x:row r="251">
      <x:c r="A251" s="13" t="str">
        <x:v>ORD-0250</x:v>
      </x:c>
      <x:c r="B251" s="29" t="n">
        <x:v>45724</x:v>
      </x:c>
      <x:c r="C251" s="14" t="str">
        <x:f>TEXT(B251,"mmm-yyyy")</x:f>
        <x:v>Mar-2025</x:v>
      </x:c>
      <x:c r="D251" s="14" t="str">
        <x:v>Chennai</x:v>
      </x:c>
      <x:c r="E251" s="14" t="str">
        <x:v>South</x:v>
      </x:c>
      <x:c r="F251" s="14" t="str">
        <x:v>Furniture</x:v>
      </x:c>
      <x:c r="G251" s="14" t="str">
        <x:v>Office Chair</x:v>
      </x:c>
      <x:c r="H251" s="47" t="n">
        <x:v>3</x:v>
      </x:c>
      <x:c r="I251" s="35" t="n">
        <x:v>4854</x:v>
      </x:c>
      <x:c r="J251" s="41" t="n">
        <x:v>0.05</x:v>
      </x:c>
      <x:c r="K251" s="35" t="n">
        <x:f>ROUND(H251*I251*(1-J251),0)</x:f>
        <x:v>13834</x:v>
      </x:c>
      <x:c r="L251" s="35" t="n">
        <x:f>ROUND(K251*IF(F251="Electronics",18%,IF(F251="Office Supplies",22%,IF(F251="Furniture",15%,25%))),0)</x:f>
        <x:v>2075</x:v>
      </x:c>
      <x:c r="M251" s="14" t="str">
        <x:v>Debit Card</x:v>
      </x:c>
      <x:c r="N251" s="15" t="str">
        <x:v>Corporate</x:v>
      </x:c>
    </x:row>
    <x:row r="252">
      <x:c r="A252" s="13" t="str">
        <x:v>ORD-0251</x:v>
      </x:c>
      <x:c r="B252" s="29" t="n">
        <x:v>45784</x:v>
      </x:c>
      <x:c r="C252" s="14" t="str">
        <x:f>TEXT(B252,"mmm-yyyy")</x:f>
        <x:v>May-2025</x:v>
      </x:c>
      <x:c r="D252" s="14" t="str">
        <x:v>Mumbai</x:v>
      </x:c>
      <x:c r="E252" s="14" t="str">
        <x:v>West</x:v>
      </x:c>
      <x:c r="F252" s="14" t="str">
        <x:v>Electronics</x:v>
      </x:c>
      <x:c r="G252" s="14" t="str">
        <x:v>Wireless Mouse</x:v>
      </x:c>
      <x:c r="H252" s="47" t="n">
        <x:v>1</x:v>
      </x:c>
      <x:c r="I252" s="35" t="n">
        <x:v>856</x:v>
      </x:c>
      <x:c r="J252" s="41" t="n">
        <x:v>0.15</x:v>
      </x:c>
      <x:c r="K252" s="35" t="n">
        <x:f>ROUND(H252*I252*(1-J252),0)</x:f>
        <x:v>728</x:v>
      </x:c>
      <x:c r="L252" s="35" t="n">
        <x:f>ROUND(K252*IF(F252="Electronics",18%,IF(F252="Office Supplies",22%,IF(F252="Furniture",15%,25%))),0)</x:f>
        <x:v>131</x:v>
      </x:c>
      <x:c r="M252" s="14" t="str">
        <x:v>Cash</x:v>
      </x:c>
      <x:c r="N252" s="15" t="str">
        <x:v>Consumer</x:v>
      </x:c>
    </x:row>
    <x:row r="253">
      <x:c r="A253" s="13" t="str">
        <x:v>ORD-0252</x:v>
      </x:c>
      <x:c r="B253" s="29" t="n">
        <x:v>45739</x:v>
      </x:c>
      <x:c r="C253" s="14" t="str">
        <x:f>TEXT(B253,"mmm-yyyy")</x:f>
        <x:v>Mar-2025</x:v>
      </x:c>
      <x:c r="D253" s="14" t="str">
        <x:v>Chennai</x:v>
      </x:c>
      <x:c r="E253" s="14" t="str">
        <x:v>South</x:v>
      </x:c>
      <x:c r="F253" s="14" t="str">
        <x:v>Accessories</x:v>
      </x:c>
      <x:c r="G253" s="14" t="str">
        <x:v>Desk Lamp</x:v>
      </x:c>
      <x:c r="H253" s="47" t="n">
        <x:v>3</x:v>
      </x:c>
      <x:c r="I253" s="35" t="n">
        <x:v>872</x:v>
      </x:c>
      <x:c r="J253" s="41" t="n">
        <x:v>0.1</x:v>
      </x:c>
      <x:c r="K253" s="35" t="n">
        <x:f>ROUND(H253*I253*(1-J253),0)</x:f>
        <x:v>2354</x:v>
      </x:c>
      <x:c r="L253" s="35" t="n">
        <x:f>ROUND(K253*IF(F253="Electronics",18%,IF(F253="Office Supplies",22%,IF(F253="Furniture",15%,25%))),0)</x:f>
        <x:v>589</x:v>
      </x:c>
      <x:c r="M253" s="14" t="str">
        <x:v>Cash</x:v>
      </x:c>
      <x:c r="N253" s="15" t="str">
        <x:v>Home Office</x:v>
      </x:c>
    </x:row>
    <x:row r="254">
      <x:c r="A254" s="13" t="str">
        <x:v>ORD-0253</x:v>
      </x:c>
      <x:c r="B254" s="29" t="n">
        <x:v>45897</x:v>
      </x:c>
      <x:c r="C254" s="14" t="str">
        <x:f>TEXT(B254,"mmm-yyyy")</x:f>
        <x:v>Aug-2025</x:v>
      </x:c>
      <x:c r="D254" s="14" t="str">
        <x:v>Jaipur</x:v>
      </x:c>
      <x:c r="E254" s="14" t="str">
        <x:v>North</x:v>
      </x:c>
      <x:c r="F254" s="14" t="str">
        <x:v>Accessories</x:v>
      </x:c>
      <x:c r="G254" s="14" t="str">
        <x:v>Desk Lamp</x:v>
      </x:c>
      <x:c r="H254" s="47" t="n">
        <x:v>2</x:v>
      </x:c>
      <x:c r="I254" s="35" t="n">
        <x:v>830</x:v>
      </x:c>
      <x:c r="J254" s="41" t="n">
        <x:v>0.15</x:v>
      </x:c>
      <x:c r="K254" s="35" t="n">
        <x:f>ROUND(H254*I254*(1-J254),0)</x:f>
        <x:v>1411</x:v>
      </x:c>
      <x:c r="L254" s="35" t="n">
        <x:f>ROUND(K254*IF(F254="Electronics",18%,IF(F254="Office Supplies",22%,IF(F254="Furniture",15%,25%))),0)</x:f>
        <x:v>353</x:v>
      </x:c>
      <x:c r="M254" s="14" t="str">
        <x:v>Net Banking</x:v>
      </x:c>
      <x:c r="N254" s="15" t="str">
        <x:v>Corporate</x:v>
      </x:c>
    </x:row>
    <x:row r="255">
      <x:c r="A255" s="13" t="str">
        <x:v>ORD-0254</x:v>
      </x:c>
      <x:c r="B255" s="29" t="n">
        <x:v>45781</x:v>
      </x:c>
      <x:c r="C255" s="14" t="str">
        <x:f>TEXT(B255,"mmm-yyyy")</x:f>
        <x:v>May-2025</x:v>
      </x:c>
      <x:c r="D255" s="14" t="str">
        <x:v>Hyderabad</x:v>
      </x:c>
      <x:c r="E255" s="14" t="str">
        <x:v>South</x:v>
      </x:c>
      <x:c r="F255" s="14" t="str">
        <x:v>Furniture</x:v>
      </x:c>
      <x:c r="G255" s="14" t="str">
        <x:v>Study Table</x:v>
      </x:c>
      <x:c r="H255" s="47" t="n">
        <x:v>2</x:v>
      </x:c>
      <x:c r="I255" s="35" t="n">
        <x:v>6496</x:v>
      </x:c>
      <x:c r="J255" s="41" t="n">
        <x:v>0.05</x:v>
      </x:c>
      <x:c r="K255" s="35" t="n">
        <x:f>ROUND(H255*I255*(1-J255),0)</x:f>
        <x:v>12342</x:v>
      </x:c>
      <x:c r="L255" s="35" t="n">
        <x:f>ROUND(K255*IF(F255="Electronics",18%,IF(F255="Office Supplies",22%,IF(F255="Furniture",15%,25%))),0)</x:f>
        <x:v>1851</x:v>
      </x:c>
      <x:c r="M255" s="14" t="str">
        <x:v>Cash</x:v>
      </x:c>
      <x:c r="N255" s="15" t="str">
        <x:v>Corporate</x:v>
      </x:c>
    </x:row>
    <x:row r="256">
      <x:c r="A256" s="13" t="str">
        <x:v>ORD-0255</x:v>
      </x:c>
      <x:c r="B256" s="29" t="n">
        <x:v>45932</x:v>
      </x:c>
      <x:c r="C256" s="14" t="str">
        <x:f>TEXT(B256,"mmm-yyyy")</x:f>
        <x:v>Oct-2025</x:v>
      </x:c>
      <x:c r="D256" s="14" t="str">
        <x:v>Nagpur</x:v>
      </x:c>
      <x:c r="E256" s="14" t="str">
        <x:v>West</x:v>
      </x:c>
      <x:c r="F256" s="14" t="str">
        <x:v>Accessories</x:v>
      </x:c>
      <x:c r="G256" s="14" t="str">
        <x:v>Laptop Sleeve</x:v>
      </x:c>
      <x:c r="H256" s="47" t="n">
        <x:v>1</x:v>
      </x:c>
      <x:c r="I256" s="35" t="n">
        <x:v>658</x:v>
      </x:c>
      <x:c r="J256" s="41" t="n">
        <x:v>0</x:v>
      </x:c>
      <x:c r="K256" s="35" t="n">
        <x:f>ROUND(H256*I256*(1-J256),0)</x:f>
        <x:v>658</x:v>
      </x:c>
      <x:c r="L256" s="35" t="n">
        <x:f>ROUND(K256*IF(F256="Electronics",18%,IF(F256="Office Supplies",22%,IF(F256="Furniture",15%,25%))),0)</x:f>
        <x:v>165</x:v>
      </x:c>
      <x:c r="M256" s="14" t="str">
        <x:v>Debit Card</x:v>
      </x:c>
      <x:c r="N256" s="15" t="str">
        <x:v>Corporate</x:v>
      </x:c>
    </x:row>
    <x:row r="257">
      <x:c r="A257" s="13" t="str">
        <x:v>ORD-0256</x:v>
      </x:c>
      <x:c r="B257" s="29" t="n">
        <x:v>45845</x:v>
      </x:c>
      <x:c r="C257" s="14" t="str">
        <x:f>TEXT(B257,"mmm-yyyy")</x:f>
        <x:v>Jul-2025</x:v>
      </x:c>
      <x:c r="D257" s="14" t="str">
        <x:v>Nagpur</x:v>
      </x:c>
      <x:c r="E257" s="14" t="str">
        <x:v>West</x:v>
      </x:c>
      <x:c r="F257" s="14" t="str">
        <x:v>Office Supplies</x:v>
      </x:c>
      <x:c r="G257" s="14" t="str">
        <x:v>Ball Pen Set</x:v>
      </x:c>
      <x:c r="H257" s="47" t="n">
        <x:v>1</x:v>
      </x:c>
      <x:c r="I257" s="35" t="n">
        <x:v>201</x:v>
      </x:c>
      <x:c r="J257" s="41" t="n">
        <x:v>0</x:v>
      </x:c>
      <x:c r="K257" s="35" t="n">
        <x:f>ROUND(H257*I257*(1-J257),0)</x:f>
        <x:v>201</x:v>
      </x:c>
      <x:c r="L257" s="35" t="n">
        <x:f>ROUND(K257*IF(F257="Electronics",18%,IF(F257="Office Supplies",22%,IF(F257="Furniture",15%,25%))),0)</x:f>
        <x:v>44</x:v>
      </x:c>
      <x:c r="M257" s="14" t="str">
        <x:v>Debit Card</x:v>
      </x:c>
      <x:c r="N257" s="15" t="str">
        <x:v>Consumer</x:v>
      </x:c>
    </x:row>
    <x:row r="258">
      <x:c r="A258" s="13" t="str">
        <x:v>ORD-0257</x:v>
      </x:c>
      <x:c r="B258" s="29" t="n">
        <x:v>45855</x:v>
      </x:c>
      <x:c r="C258" s="14" t="str">
        <x:f>TEXT(B258,"mmm-yyyy")</x:f>
        <x:v>Jul-2025</x:v>
      </x:c>
      <x:c r="D258" s="14" t="str">
        <x:v>Kolkata</x:v>
      </x:c>
      <x:c r="E258" s="14" t="str">
        <x:v>East</x:v>
      </x:c>
      <x:c r="F258" s="14" t="str">
        <x:v>Office Supplies</x:v>
      </x:c>
      <x:c r="G258" s="14" t="str">
        <x:v>Printer Paper</x:v>
      </x:c>
      <x:c r="H258" s="47" t="n">
        <x:v>4</x:v>
      </x:c>
      <x:c r="I258" s="35" t="n">
        <x:v>385</x:v>
      </x:c>
      <x:c r="J258" s="41" t="n">
        <x:v>0.2</x:v>
      </x:c>
      <x:c r="K258" s="35" t="n">
        <x:f>ROUND(H258*I258*(1-J258),0)</x:f>
        <x:v>1232</x:v>
      </x:c>
      <x:c r="L258" s="35" t="n">
        <x:f>ROUND(K258*IF(F258="Electronics",18%,IF(F258="Office Supplies",22%,IF(F258="Furniture",15%,25%))),0)</x:f>
        <x:v>271</x:v>
      </x:c>
      <x:c r="M258" s="14" t="str">
        <x:v>Net Banking</x:v>
      </x:c>
      <x:c r="N258" s="15" t="str">
        <x:v>Consumer</x:v>
      </x:c>
    </x:row>
    <x:row r="259">
      <x:c r="A259" s="13" t="str">
        <x:v>ORD-0258</x:v>
      </x:c>
      <x:c r="B259" s="29" t="n">
        <x:v>45723</x:v>
      </x:c>
      <x:c r="C259" s="14" t="str">
        <x:f>TEXT(B259,"mmm-yyyy")</x:f>
        <x:v>Mar-2025</x:v>
      </x:c>
      <x:c r="D259" s="14" t="str">
        <x:v>Pune</x:v>
      </x:c>
      <x:c r="E259" s="14" t="str">
        <x:v>West</x:v>
      </x:c>
      <x:c r="F259" s="14" t="str">
        <x:v>Office Supplies</x:v>
      </x:c>
      <x:c r="G259" s="14" t="str">
        <x:v>Ball Pen Set</x:v>
      </x:c>
      <x:c r="H259" s="47" t="n">
        <x:v>2</x:v>
      </x:c>
      <x:c r="I259" s="35" t="n">
        <x:v>214</x:v>
      </x:c>
      <x:c r="J259" s="41" t="n">
        <x:v>0.05</x:v>
      </x:c>
      <x:c r="K259" s="35" t="n">
        <x:f>ROUND(H259*I259*(1-J259),0)</x:f>
        <x:v>407</x:v>
      </x:c>
      <x:c r="L259" s="35" t="n">
        <x:f>ROUND(K259*IF(F259="Electronics",18%,IF(F259="Office Supplies",22%,IF(F259="Furniture",15%,25%))),0)</x:f>
        <x:v>90</x:v>
      </x:c>
      <x:c r="M259" s="14" t="str">
        <x:v>Debit Card</x:v>
      </x:c>
      <x:c r="N259" s="15" t="str">
        <x:v>Consumer</x:v>
      </x:c>
    </x:row>
    <x:row r="260">
      <x:c r="A260" s="13" t="str">
        <x:v>ORD-0259</x:v>
      </x:c>
      <x:c r="B260" s="29" t="n">
        <x:v>45759</x:v>
      </x:c>
      <x:c r="C260" s="14" t="str">
        <x:f>TEXT(B260,"mmm-yyyy")</x:f>
        <x:v>Apr-2025</x:v>
      </x:c>
      <x:c r="D260" s="14" t="str">
        <x:v>Bhopal</x:v>
      </x:c>
      <x:c r="E260" s="14" t="str">
        <x:v>Central</x:v>
      </x:c>
      <x:c r="F260" s="14" t="str">
        <x:v>Furniture</x:v>
      </x:c>
      <x:c r="G260" s="14" t="str">
        <x:v>Office Chair</x:v>
      </x:c>
      <x:c r="H260" s="47" t="n">
        <x:v>2</x:v>
      </x:c>
      <x:c r="I260" s="35" t="n">
        <x:v>4631</x:v>
      </x:c>
      <x:c r="J260" s="41" t="n">
        <x:v>0</x:v>
      </x:c>
      <x:c r="K260" s="35" t="n">
        <x:f>ROUND(H260*I260*(1-J260),0)</x:f>
        <x:v>9262</x:v>
      </x:c>
      <x:c r="L260" s="35" t="n">
        <x:f>ROUND(K260*IF(F260="Electronics",18%,IF(F260="Office Supplies",22%,IF(F260="Furniture",15%,25%))),0)</x:f>
        <x:v>1389</x:v>
      </x:c>
      <x:c r="M260" s="14" t="str">
        <x:v>Debit Card</x:v>
      </x:c>
      <x:c r="N260" s="15" t="str">
        <x:v>Corporate</x:v>
      </x:c>
    </x:row>
    <x:row r="261">
      <x:c r="A261" s="13" t="str">
        <x:v>ORD-0260</x:v>
      </x:c>
      <x:c r="B261" s="29" t="n">
        <x:v>45923</x:v>
      </x:c>
      <x:c r="C261" s="14" t="str">
        <x:f>TEXT(B261,"mmm-yyyy")</x:f>
        <x:v>Sep-2025</x:v>
      </x:c>
      <x:c r="D261" s="14" t="str">
        <x:v>Jaipur</x:v>
      </x:c>
      <x:c r="E261" s="14" t="str">
        <x:v>North</x:v>
      </x:c>
      <x:c r="F261" s="14" t="str">
        <x:v>Electronics</x:v>
      </x:c>
      <x:c r="G261" s="14" t="str">
        <x:v>Bluetooth Speaker</x:v>
      </x:c>
      <x:c r="H261" s="47" t="n">
        <x:v>3</x:v>
      </x:c>
      <x:c r="I261" s="35" t="n">
        <x:v>1503</x:v>
      </x:c>
      <x:c r="J261" s="41" t="n">
        <x:v>0</x:v>
      </x:c>
      <x:c r="K261" s="35" t="n">
        <x:f>ROUND(H261*I261*(1-J261),0)</x:f>
        <x:v>4509</x:v>
      </x:c>
      <x:c r="L261" s="35" t="n">
        <x:f>ROUND(K261*IF(F261="Electronics",18%,IF(F261="Office Supplies",22%,IF(F261="Furniture",15%,25%))),0)</x:f>
        <x:v>812</x:v>
      </x:c>
      <x:c r="M261" s="14" t="str">
        <x:v>Net Banking</x:v>
      </x:c>
      <x:c r="N261" s="15" t="str">
        <x:v>Corporate</x:v>
      </x:c>
    </x:row>
    <x:row r="262">
      <x:c r="A262" s="13" t="str">
        <x:v>ORD-0261</x:v>
      </x:c>
      <x:c r="B262" s="29" t="n">
        <x:v>45741</x:v>
      </x:c>
      <x:c r="C262" s="14" t="str">
        <x:f>TEXT(B262,"mmm-yyyy")</x:f>
        <x:v>Mar-2025</x:v>
      </x:c>
      <x:c r="D262" s="14" t="str">
        <x:v>Delhi</x:v>
      </x:c>
      <x:c r="E262" s="14" t="str">
        <x:v>North</x:v>
      </x:c>
      <x:c r="F262" s="14" t="str">
        <x:v>Furniture</x:v>
      </x:c>
      <x:c r="G262" s="14" t="str">
        <x:v>Study Table</x:v>
      </x:c>
      <x:c r="H262" s="47" t="n">
        <x:v>4</x:v>
      </x:c>
      <x:c r="I262" s="35" t="n">
        <x:v>6774</x:v>
      </x:c>
      <x:c r="J262" s="41" t="n">
        <x:v>0</x:v>
      </x:c>
      <x:c r="K262" s="35" t="n">
        <x:f>ROUND(H262*I262*(1-J262),0)</x:f>
        <x:v>27096</x:v>
      </x:c>
      <x:c r="L262" s="35" t="n">
        <x:f>ROUND(K262*IF(F262="Electronics",18%,IF(F262="Office Supplies",22%,IF(F262="Furniture",15%,25%))),0)</x:f>
        <x:v>4064</x:v>
      </x:c>
      <x:c r="M262" s="14" t="str">
        <x:v>Net Banking</x:v>
      </x:c>
      <x:c r="N262" s="15" t="str">
        <x:v>Home Office</x:v>
      </x:c>
    </x:row>
    <x:row r="263">
      <x:c r="A263" s="13" t="str">
        <x:v>ORD-0262</x:v>
      </x:c>
      <x:c r="B263" s="29" t="n">
        <x:v>45908</x:v>
      </x:c>
      <x:c r="C263" s="14" t="str">
        <x:f>TEXT(B263,"mmm-yyyy")</x:f>
        <x:v>Sep-2025</x:v>
      </x:c>
      <x:c r="D263" s="14" t="str">
        <x:v>Bhopal</x:v>
      </x:c>
      <x:c r="E263" s="14" t="str">
        <x:v>Central</x:v>
      </x:c>
      <x:c r="F263" s="14" t="str">
        <x:v>Office Supplies</x:v>
      </x:c>
      <x:c r="G263" s="14" t="str">
        <x:v>Notebook Pack</x:v>
      </x:c>
      <x:c r="H263" s="47" t="n">
        <x:v>3</x:v>
      </x:c>
      <x:c r="I263" s="35" t="n">
        <x:v>230</x:v>
      </x:c>
      <x:c r="J263" s="41" t="n">
        <x:v>0</x:v>
      </x:c>
      <x:c r="K263" s="35" t="n">
        <x:f>ROUND(H263*I263*(1-J263),0)</x:f>
        <x:v>690</x:v>
      </x:c>
      <x:c r="L263" s="35" t="n">
        <x:f>ROUND(K263*IF(F263="Electronics",18%,IF(F263="Office Supplies",22%,IF(F263="Furniture",15%,25%))),0)</x:f>
        <x:v>152</x:v>
      </x:c>
      <x:c r="M263" s="14" t="str">
        <x:v>UPI</x:v>
      </x:c>
      <x:c r="N263" s="15" t="str">
        <x:v>Corporate</x:v>
      </x:c>
    </x:row>
    <x:row r="264">
      <x:c r="A264" s="13" t="str">
        <x:v>ORD-0263</x:v>
      </x:c>
      <x:c r="B264" s="29" t="n">
        <x:v>45956</x:v>
      </x:c>
      <x:c r="C264" s="14" t="str">
        <x:f>TEXT(B264,"mmm-yyyy")</x:f>
        <x:v>Oct-2025</x:v>
      </x:c>
      <x:c r="D264" s="14" t="str">
        <x:v>Bengaluru</x:v>
      </x:c>
      <x:c r="E264" s="14" t="str">
        <x:v>South</x:v>
      </x:c>
      <x:c r="F264" s="14" t="str">
        <x:v>Accessories</x:v>
      </x:c>
      <x:c r="G264" s="14" t="str">
        <x:v>Water Bottle</x:v>
      </x:c>
      <x:c r="H264" s="47" t="n">
        <x:v>6</x:v>
      </x:c>
      <x:c r="I264" s="35" t="n">
        <x:v>370</x:v>
      </x:c>
      <x:c r="J264" s="41" t="n">
        <x:v>0.05</x:v>
      </x:c>
      <x:c r="K264" s="35" t="n">
        <x:f>ROUND(H264*I264*(1-J264),0)</x:f>
        <x:v>2109</x:v>
      </x:c>
      <x:c r="L264" s="35" t="n">
        <x:f>ROUND(K264*IF(F264="Electronics",18%,IF(F264="Office Supplies",22%,IF(F264="Furniture",15%,25%))),0)</x:f>
        <x:v>527</x:v>
      </x:c>
      <x:c r="M264" s="14" t="str">
        <x:v>Net Banking</x:v>
      </x:c>
      <x:c r="N264" s="15" t="str">
        <x:v>Corporate</x:v>
      </x:c>
    </x:row>
    <x:row r="265">
      <x:c r="A265" s="13" t="str">
        <x:v>ORD-0264</x:v>
      </x:c>
      <x:c r="B265" s="29" t="n">
        <x:v>45793</x:v>
      </x:c>
      <x:c r="C265" s="14" t="str">
        <x:f>TEXT(B265,"mmm-yyyy")</x:f>
        <x:v>May-2025</x:v>
      </x:c>
      <x:c r="D265" s="14" t="str">
        <x:v>Bhopal</x:v>
      </x:c>
      <x:c r="E265" s="14" t="str">
        <x:v>Central</x:v>
      </x:c>
      <x:c r="F265" s="14" t="str">
        <x:v>Furniture</x:v>
      </x:c>
      <x:c r="G265" s="14" t="str">
        <x:v>Study Table</x:v>
      </x:c>
      <x:c r="H265" s="47" t="n">
        <x:v>2</x:v>
      </x:c>
      <x:c r="I265" s="35" t="n">
        <x:v>6497</x:v>
      </x:c>
      <x:c r="J265" s="41" t="n">
        <x:v>0.05</x:v>
      </x:c>
      <x:c r="K265" s="35" t="n">
        <x:f>ROUND(H265*I265*(1-J265),0)</x:f>
        <x:v>12344</x:v>
      </x:c>
      <x:c r="L265" s="35" t="n">
        <x:f>ROUND(K265*IF(F265="Electronics",18%,IF(F265="Office Supplies",22%,IF(F265="Furniture",15%,25%))),0)</x:f>
        <x:v>1852</x:v>
      </x:c>
      <x:c r="M265" s="14" t="str">
        <x:v>Net Banking</x:v>
      </x:c>
      <x:c r="N265" s="15" t="str">
        <x:v>Home Office</x:v>
      </x:c>
    </x:row>
    <x:row r="266">
      <x:c r="A266" s="13" t="str">
        <x:v>ORD-0265</x:v>
      </x:c>
      <x:c r="B266" s="29" t="n">
        <x:v>45975</x:v>
      </x:c>
      <x:c r="C266" s="14" t="str">
        <x:f>TEXT(B266,"mmm-yyyy")</x:f>
        <x:v>Nov-2025</x:v>
      </x:c>
      <x:c r="D266" s="14" t="str">
        <x:v>Delhi</x:v>
      </x:c>
      <x:c r="E266" s="14" t="str">
        <x:v>North</x:v>
      </x:c>
      <x:c r="F266" s="14" t="str">
        <x:v>Electronics</x:v>
      </x:c>
      <x:c r="G266" s="14" t="str">
        <x:v>Bluetooth Speaker</x:v>
      </x:c>
      <x:c r="H266" s="47" t="n">
        <x:v>5</x:v>
      </x:c>
      <x:c r="I266" s="35" t="n">
        <x:v>1437</x:v>
      </x:c>
      <x:c r="J266" s="41" t="n">
        <x:v>0.05</x:v>
      </x:c>
      <x:c r="K266" s="35" t="n">
        <x:f>ROUND(H266*I266*(1-J266),0)</x:f>
        <x:v>6826</x:v>
      </x:c>
      <x:c r="L266" s="35" t="n">
        <x:f>ROUND(K266*IF(F266="Electronics",18%,IF(F266="Office Supplies",22%,IF(F266="Furniture",15%,25%))),0)</x:f>
        <x:v>1229</x:v>
      </x:c>
      <x:c r="M266" s="14" t="str">
        <x:v>UPI</x:v>
      </x:c>
      <x:c r="N266" s="15" t="str">
        <x:v>Consumer</x:v>
      </x:c>
    </x:row>
    <x:row r="267">
      <x:c r="A267" s="13" t="str">
        <x:v>ORD-0266</x:v>
      </x:c>
      <x:c r="B267" s="29" t="n">
        <x:v>45667</x:v>
      </x:c>
      <x:c r="C267" s="14" t="str">
        <x:f>TEXT(B267,"mmm-yyyy")</x:f>
        <x:v>Jan-2025</x:v>
      </x:c>
      <x:c r="D267" s="14" t="str">
        <x:v>Jaipur</x:v>
      </x:c>
      <x:c r="E267" s="14" t="str">
        <x:v>North</x:v>
      </x:c>
      <x:c r="F267" s="14" t="str">
        <x:v>Office Supplies</x:v>
      </x:c>
      <x:c r="G267" s="14" t="str">
        <x:v>Desk Organizer</x:v>
      </x:c>
      <x:c r="H267" s="47" t="n">
        <x:v>2</x:v>
      </x:c>
      <x:c r="I267" s="35" t="n">
        <x:v>689</x:v>
      </x:c>
      <x:c r="J267" s="41" t="n">
        <x:v>0</x:v>
      </x:c>
      <x:c r="K267" s="35" t="n">
        <x:f>ROUND(H267*I267*(1-J267),0)</x:f>
        <x:v>1378</x:v>
      </x:c>
      <x:c r="L267" s="35" t="n">
        <x:f>ROUND(K267*IF(F267="Electronics",18%,IF(F267="Office Supplies",22%,IF(F267="Furniture",15%,25%))),0)</x:f>
        <x:v>303</x:v>
      </x:c>
      <x:c r="M267" s="14" t="str">
        <x:v>Net Banking</x:v>
      </x:c>
      <x:c r="N267" s="15" t="str">
        <x:v>Home Office</x:v>
      </x:c>
    </x:row>
    <x:row r="268">
      <x:c r="A268" s="13" t="str">
        <x:v>ORD-0267</x:v>
      </x:c>
      <x:c r="B268" s="29" t="n">
        <x:v>45899</x:v>
      </x:c>
      <x:c r="C268" s="14" t="str">
        <x:f>TEXT(B268,"mmm-yyyy")</x:f>
        <x:v>Aug-2025</x:v>
      </x:c>
      <x:c r="D268" s="14" t="str">
        <x:v>Nagpur</x:v>
      </x:c>
      <x:c r="E268" s="14" t="str">
        <x:v>West</x:v>
      </x:c>
      <x:c r="F268" s="14" t="str">
        <x:v>Accessories</x:v>
      </x:c>
      <x:c r="G268" s="14" t="str">
        <x:v>Backpack</x:v>
      </x:c>
      <x:c r="H268" s="47" t="n">
        <x:v>1</x:v>
      </x:c>
      <x:c r="I268" s="35" t="n">
        <x:v>1143</x:v>
      </x:c>
      <x:c r="J268" s="41" t="n">
        <x:v>0</x:v>
      </x:c>
      <x:c r="K268" s="35" t="n">
        <x:f>ROUND(H268*I268*(1-J268),0)</x:f>
        <x:v>1143</x:v>
      </x:c>
      <x:c r="L268" s="35" t="n">
        <x:f>ROUND(K268*IF(F268="Electronics",18%,IF(F268="Office Supplies",22%,IF(F268="Furniture",15%,25%))),0)</x:f>
        <x:v>286</x:v>
      </x:c>
      <x:c r="M268" s="14" t="str">
        <x:v>Cash</x:v>
      </x:c>
      <x:c r="N268" s="15" t="str">
        <x:v>Home Office</x:v>
      </x:c>
    </x:row>
    <x:row r="269">
      <x:c r="A269" s="13" t="str">
        <x:v>ORD-0268</x:v>
      </x:c>
      <x:c r="B269" s="29" t="n">
        <x:v>45850</x:v>
      </x:c>
      <x:c r="C269" s="14" t="str">
        <x:f>TEXT(B269,"mmm-yyyy")</x:f>
        <x:v>Jul-2025</x:v>
      </x:c>
      <x:c r="D269" s="14" t="str">
        <x:v>Chennai</x:v>
      </x:c>
      <x:c r="E269" s="14" t="str">
        <x:v>South</x:v>
      </x:c>
      <x:c r="F269" s="14" t="str">
        <x:v>Electronics</x:v>
      </x:c>
      <x:c r="G269" s="14" t="str">
        <x:v>Bluetooth Speaker</x:v>
      </x:c>
      <x:c r="H269" s="47" t="n">
        <x:v>2</x:v>
      </x:c>
      <x:c r="I269" s="35" t="n">
        <x:v>1507</x:v>
      </x:c>
      <x:c r="J269" s="41" t="n">
        <x:v>0.05</x:v>
      </x:c>
      <x:c r="K269" s="35" t="n">
        <x:f>ROUND(H269*I269*(1-J269),0)</x:f>
        <x:v>2863</x:v>
      </x:c>
      <x:c r="L269" s="35" t="n">
        <x:f>ROUND(K269*IF(F269="Electronics",18%,IF(F269="Office Supplies",22%,IF(F269="Furniture",15%,25%))),0)</x:f>
        <x:v>515</x:v>
      </x:c>
      <x:c r="M269" s="14" t="str">
        <x:v>Debit Card</x:v>
      </x:c>
      <x:c r="N269" s="15" t="str">
        <x:v>Home Office</x:v>
      </x:c>
    </x:row>
    <x:row r="270">
      <x:c r="A270" s="13" t="str">
        <x:v>ORD-0269</x:v>
      </x:c>
      <x:c r="B270" s="29" t="n">
        <x:v>45905</x:v>
      </x:c>
      <x:c r="C270" s="14" t="str">
        <x:f>TEXT(B270,"mmm-yyyy")</x:f>
        <x:v>Sep-2025</x:v>
      </x:c>
      <x:c r="D270" s="14" t="str">
        <x:v>Hyderabad</x:v>
      </x:c>
      <x:c r="E270" s="14" t="str">
        <x:v>South</x:v>
      </x:c>
      <x:c r="F270" s="14" t="str">
        <x:v>Electronics</x:v>
      </x:c>
      <x:c r="G270" s="14" t="str">
        <x:v>USB-C Cable</x:v>
      </x:c>
      <x:c r="H270" s="47" t="n">
        <x:v>2</x:v>
      </x:c>
      <x:c r="I270" s="35" t="n">
        <x:v>289</x:v>
      </x:c>
      <x:c r="J270" s="41" t="n">
        <x:v>0.15</x:v>
      </x:c>
      <x:c r="K270" s="35" t="n">
        <x:f>ROUND(H270*I270*(1-J270),0)</x:f>
        <x:v>491</x:v>
      </x:c>
      <x:c r="L270" s="35" t="n">
        <x:f>ROUND(K270*IF(F270="Electronics",18%,IF(F270="Office Supplies",22%,IF(F270="Furniture",15%,25%))),0)</x:f>
        <x:v>88</x:v>
      </x:c>
      <x:c r="M270" s="14" t="str">
        <x:v>Debit Card</x:v>
      </x:c>
      <x:c r="N270" s="15" t="str">
        <x:v>Corporate</x:v>
      </x:c>
    </x:row>
    <x:row r="271">
      <x:c r="A271" s="13" t="str">
        <x:v>ORD-0270</x:v>
      </x:c>
      <x:c r="B271" s="29" t="n">
        <x:v>46018</x:v>
      </x:c>
      <x:c r="C271" s="14" t="str">
        <x:f>TEXT(B271,"mmm-yyyy")</x:f>
        <x:v>Dec-2025</x:v>
      </x:c>
      <x:c r="D271" s="14" t="str">
        <x:v>Hyderabad</x:v>
      </x:c>
      <x:c r="E271" s="14" t="str">
        <x:v>South</x:v>
      </x:c>
      <x:c r="F271" s="14" t="str">
        <x:v>Accessories</x:v>
      </x:c>
      <x:c r="G271" s="14" t="str">
        <x:v>Backpack</x:v>
      </x:c>
      <x:c r="H271" s="47" t="n">
        <x:v>4</x:v>
      </x:c>
      <x:c r="I271" s="35" t="n">
        <x:v>1164</x:v>
      </x:c>
      <x:c r="J271" s="41" t="n">
        <x:v>0</x:v>
      </x:c>
      <x:c r="K271" s="35" t="n">
        <x:f>ROUND(H271*I271*(1-J271),0)</x:f>
        <x:v>4656</x:v>
      </x:c>
      <x:c r="L271" s="35" t="n">
        <x:f>ROUND(K271*IF(F271="Electronics",18%,IF(F271="Office Supplies",22%,IF(F271="Furniture",15%,25%))),0)</x:f>
        <x:v>1164</x:v>
      </x:c>
      <x:c r="M271" s="14" t="str">
        <x:v>Debit Card</x:v>
      </x:c>
      <x:c r="N271" s="15" t="str">
        <x:v>Corporate</x:v>
      </x:c>
    </x:row>
    <x:row r="272">
      <x:c r="A272" s="13" t="str">
        <x:v>ORD-0271</x:v>
      </x:c>
      <x:c r="B272" s="29" t="n">
        <x:v>45720</x:v>
      </x:c>
      <x:c r="C272" s="14" t="str">
        <x:f>TEXT(B272,"mmm-yyyy")</x:f>
        <x:v>Mar-2025</x:v>
      </x:c>
      <x:c r="D272" s="14" t="str">
        <x:v>Bhopal</x:v>
      </x:c>
      <x:c r="E272" s="14" t="str">
        <x:v>Central</x:v>
      </x:c>
      <x:c r="F272" s="14" t="str">
        <x:v>Furniture</x:v>
      </x:c>
      <x:c r="G272" s="14" t="str">
        <x:v>Bookshelf</x:v>
      </x:c>
      <x:c r="H272" s="47" t="n">
        <x:v>3</x:v>
      </x:c>
      <x:c r="I272" s="35" t="n">
        <x:v>3721</x:v>
      </x:c>
      <x:c r="J272" s="41" t="n">
        <x:v>0.05</x:v>
      </x:c>
      <x:c r="K272" s="35" t="n">
        <x:f>ROUND(H272*I272*(1-J272),0)</x:f>
        <x:v>10605</x:v>
      </x:c>
      <x:c r="L272" s="35" t="n">
        <x:f>ROUND(K272*IF(F272="Electronics",18%,IF(F272="Office Supplies",22%,IF(F272="Furniture",15%,25%))),0)</x:f>
        <x:v>1591</x:v>
      </x:c>
      <x:c r="M272" s="14" t="str">
        <x:v>Debit Card</x:v>
      </x:c>
      <x:c r="N272" s="15" t="str">
        <x:v>Consumer</x:v>
      </x:c>
    </x:row>
    <x:row r="273">
      <x:c r="A273" s="13" t="str">
        <x:v>ORD-0272</x:v>
      </x:c>
      <x:c r="B273" s="29" t="n">
        <x:v>45806</x:v>
      </x:c>
      <x:c r="C273" s="14" t="str">
        <x:f>TEXT(B273,"mmm-yyyy")</x:f>
        <x:v>May-2025</x:v>
      </x:c>
      <x:c r="D273" s="14" t="str">
        <x:v>Nagpur</x:v>
      </x:c>
      <x:c r="E273" s="14" t="str">
        <x:v>West</x:v>
      </x:c>
      <x:c r="F273" s="14" t="str">
        <x:v>Office Supplies</x:v>
      </x:c>
      <x:c r="G273" s="14" t="str">
        <x:v>Notebook Pack</x:v>
      </x:c>
      <x:c r="H273" s="47" t="n">
        <x:v>7</x:v>
      </x:c>
      <x:c r="I273" s="35" t="n">
        <x:v>232</x:v>
      </x:c>
      <x:c r="J273" s="41" t="n">
        <x:v>0.15</x:v>
      </x:c>
      <x:c r="K273" s="35" t="n">
        <x:f>ROUND(H273*I273*(1-J273),0)</x:f>
        <x:v>1380</x:v>
      </x:c>
      <x:c r="L273" s="35" t="n">
        <x:f>ROUND(K273*IF(F273="Electronics",18%,IF(F273="Office Supplies",22%,IF(F273="Furniture",15%,25%))),0)</x:f>
        <x:v>304</x:v>
      </x:c>
      <x:c r="M273" s="14" t="str">
        <x:v>Debit Card</x:v>
      </x:c>
      <x:c r="N273" s="15" t="str">
        <x:v>Home Office</x:v>
      </x:c>
    </x:row>
    <x:row r="274">
      <x:c r="A274" s="13" t="str">
        <x:v>ORD-0273</x:v>
      </x:c>
      <x:c r="B274" s="29" t="n">
        <x:v>45903</x:v>
      </x:c>
      <x:c r="C274" s="14" t="str">
        <x:f>TEXT(B274,"mmm-yyyy")</x:f>
        <x:v>Sep-2025</x:v>
      </x:c>
      <x:c r="D274" s="14" t="str">
        <x:v>Hyderabad</x:v>
      </x:c>
      <x:c r="E274" s="14" t="str">
        <x:v>South</x:v>
      </x:c>
      <x:c r="F274" s="14" t="str">
        <x:v>Electronics</x:v>
      </x:c>
      <x:c r="G274" s="14" t="str">
        <x:v>USB-C Cable</x:v>
      </x:c>
      <x:c r="H274" s="47" t="n">
        <x:v>5</x:v>
      </x:c>
      <x:c r="I274" s="35" t="n">
        <x:v>288</x:v>
      </x:c>
      <x:c r="J274" s="41" t="n">
        <x:v>0.05</x:v>
      </x:c>
      <x:c r="K274" s="35" t="n">
        <x:f>ROUND(H274*I274*(1-J274),0)</x:f>
        <x:v>1368</x:v>
      </x:c>
      <x:c r="L274" s="35" t="n">
        <x:f>ROUND(K274*IF(F274="Electronics",18%,IF(F274="Office Supplies",22%,IF(F274="Furniture",15%,25%))),0)</x:f>
        <x:v>246</x:v>
      </x:c>
      <x:c r="M274" s="14" t="str">
        <x:v>Debit Card</x:v>
      </x:c>
      <x:c r="N274" s="15" t="str">
        <x:v>Consumer</x:v>
      </x:c>
    </x:row>
    <x:row r="275">
      <x:c r="A275" s="13" t="str">
        <x:v>ORD-0274</x:v>
      </x:c>
      <x:c r="B275" s="29" t="n">
        <x:v>45713</x:v>
      </x:c>
      <x:c r="C275" s="14" t="str">
        <x:f>TEXT(B275,"mmm-yyyy")</x:f>
        <x:v>Feb-2025</x:v>
      </x:c>
      <x:c r="D275" s="14" t="str">
        <x:v>Bhopal</x:v>
      </x:c>
      <x:c r="E275" s="14" t="str">
        <x:v>Central</x:v>
      </x:c>
      <x:c r="F275" s="14" t="str">
        <x:v>Accessories</x:v>
      </x:c>
      <x:c r="G275" s="14" t="str">
        <x:v>Backpack</x:v>
      </x:c>
      <x:c r="H275" s="47" t="n">
        <x:v>3</x:v>
      </x:c>
      <x:c r="I275" s="35" t="n">
        <x:v>1150</x:v>
      </x:c>
      <x:c r="J275" s="41" t="n">
        <x:v>0.1</x:v>
      </x:c>
      <x:c r="K275" s="35" t="n">
        <x:f>ROUND(H275*I275*(1-J275),0)</x:f>
        <x:v>3105</x:v>
      </x:c>
      <x:c r="L275" s="35" t="n">
        <x:f>ROUND(K275*IF(F275="Electronics",18%,IF(F275="Office Supplies",22%,IF(F275="Furniture",15%,25%))),0)</x:f>
        <x:v>776</x:v>
      </x:c>
      <x:c r="M275" s="14" t="str">
        <x:v>Net Banking</x:v>
      </x:c>
      <x:c r="N275" s="15" t="str">
        <x:v>Consumer</x:v>
      </x:c>
    </x:row>
    <x:row r="276">
      <x:c r="A276" s="13" t="str">
        <x:v>ORD-0275</x:v>
      </x:c>
      <x:c r="B276" s="29" t="n">
        <x:v>45984</x:v>
      </x:c>
      <x:c r="C276" s="14" t="str">
        <x:f>TEXT(B276,"mmm-yyyy")</x:f>
        <x:v>Nov-2025</x:v>
      </x:c>
      <x:c r="D276" s="14" t="str">
        <x:v>Hyderabad</x:v>
      </x:c>
      <x:c r="E276" s="14" t="str">
        <x:v>South</x:v>
      </x:c>
      <x:c r="F276" s="14" t="str">
        <x:v>Electronics</x:v>
      </x:c>
      <x:c r="G276" s="14" t="str">
        <x:v>Laptop Stand</x:v>
      </x:c>
      <x:c r="H276" s="47" t="n">
        <x:v>1</x:v>
      </x:c>
      <x:c r="I276" s="35" t="n">
        <x:v>1264</x:v>
      </x:c>
      <x:c r="J276" s="41" t="n">
        <x:v>0.05</x:v>
      </x:c>
      <x:c r="K276" s="35" t="n">
        <x:f>ROUND(H276*I276*(1-J276),0)</x:f>
        <x:v>1201</x:v>
      </x:c>
      <x:c r="L276" s="35" t="n">
        <x:f>ROUND(K276*IF(F276="Electronics",18%,IF(F276="Office Supplies",22%,IF(F276="Furniture",15%,25%))),0)</x:f>
        <x:v>216</x:v>
      </x:c>
      <x:c r="M276" s="14" t="str">
        <x:v>Credit Card</x:v>
      </x:c>
      <x:c r="N276" s="15" t="str">
        <x:v>Consumer</x:v>
      </x:c>
    </x:row>
    <x:row r="277">
      <x:c r="A277" s="13" t="str">
        <x:v>ORD-0276</x:v>
      </x:c>
      <x:c r="B277" s="29" t="n">
        <x:v>45939</x:v>
      </x:c>
      <x:c r="C277" s="14" t="str">
        <x:f>TEXT(B277,"mmm-yyyy")</x:f>
        <x:v>Oct-2025</x:v>
      </x:c>
      <x:c r="D277" s="14" t="str">
        <x:v>Mumbai</x:v>
      </x:c>
      <x:c r="E277" s="14" t="str">
        <x:v>West</x:v>
      </x:c>
      <x:c r="F277" s="14" t="str">
        <x:v>Office Supplies</x:v>
      </x:c>
      <x:c r="G277" s="14" t="str">
        <x:v>Ball Pen Set</x:v>
      </x:c>
      <x:c r="H277" s="47" t="n">
        <x:v>4</x:v>
      </x:c>
      <x:c r="I277" s="35" t="n">
        <x:v>211</x:v>
      </x:c>
      <x:c r="J277" s="41" t="n">
        <x:v>0.05</x:v>
      </x:c>
      <x:c r="K277" s="35" t="n">
        <x:f>ROUND(H277*I277*(1-J277),0)</x:f>
        <x:v>802</x:v>
      </x:c>
      <x:c r="L277" s="35" t="n">
        <x:f>ROUND(K277*IF(F277="Electronics",18%,IF(F277="Office Supplies",22%,IF(F277="Furniture",15%,25%))),0)</x:f>
        <x:v>176</x:v>
      </x:c>
      <x:c r="M277" s="14" t="str">
        <x:v>Credit Card</x:v>
      </x:c>
      <x:c r="N277" s="15" t="str">
        <x:v>Corporate</x:v>
      </x:c>
    </x:row>
    <x:row r="278">
      <x:c r="A278" s="13" t="str">
        <x:v>ORD-0277</x:v>
      </x:c>
      <x:c r="B278" s="29" t="n">
        <x:v>45822</x:v>
      </x:c>
      <x:c r="C278" s="14" t="str">
        <x:f>TEXT(B278,"mmm-yyyy")</x:f>
        <x:v>Jun-2025</x:v>
      </x:c>
      <x:c r="D278" s="14" t="str">
        <x:v>Bengaluru</x:v>
      </x:c>
      <x:c r="E278" s="14" t="str">
        <x:v>South</x:v>
      </x:c>
      <x:c r="F278" s="14" t="str">
        <x:v>Furniture</x:v>
      </x:c>
      <x:c r="G278" s="14" t="str">
        <x:v>Bookshelf</x:v>
      </x:c>
      <x:c r="H278" s="47" t="n">
        <x:v>1</x:v>
      </x:c>
      <x:c r="I278" s="35" t="n">
        <x:v>3649</x:v>
      </x:c>
      <x:c r="J278" s="41" t="n">
        <x:v>0.1</x:v>
      </x:c>
      <x:c r="K278" s="35" t="n">
        <x:f>ROUND(H278*I278*(1-J278),0)</x:f>
        <x:v>3284</x:v>
      </x:c>
      <x:c r="L278" s="35" t="n">
        <x:f>ROUND(K278*IF(F278="Electronics",18%,IF(F278="Office Supplies",22%,IF(F278="Furniture",15%,25%))),0)</x:f>
        <x:v>493</x:v>
      </x:c>
      <x:c r="M278" s="14" t="str">
        <x:v>Credit Card</x:v>
      </x:c>
      <x:c r="N278" s="15" t="str">
        <x:v>Home Office</x:v>
      </x:c>
    </x:row>
    <x:row r="279">
      <x:c r="A279" s="13" t="str">
        <x:v>ORD-0278</x:v>
      </x:c>
      <x:c r="B279" s="29" t="n">
        <x:v>45677</x:v>
      </x:c>
      <x:c r="C279" s="14" t="str">
        <x:f>TEXT(B279,"mmm-yyyy")</x:f>
        <x:v>Jan-2025</x:v>
      </x:c>
      <x:c r="D279" s="14" t="str">
        <x:v>Mumbai</x:v>
      </x:c>
      <x:c r="E279" s="14" t="str">
        <x:v>West</x:v>
      </x:c>
      <x:c r="F279" s="14" t="str">
        <x:v>Office Supplies</x:v>
      </x:c>
      <x:c r="G279" s="14" t="str">
        <x:v>Ball Pen Set</x:v>
      </x:c>
      <x:c r="H279" s="47" t="n">
        <x:v>6</x:v>
      </x:c>
      <x:c r="I279" s="35" t="n">
        <x:v>189</x:v>
      </x:c>
      <x:c r="J279" s="41" t="n">
        <x:v>0.15</x:v>
      </x:c>
      <x:c r="K279" s="35" t="n">
        <x:f>ROUND(H279*I279*(1-J279),0)</x:f>
        <x:v>964</x:v>
      </x:c>
      <x:c r="L279" s="35" t="n">
        <x:f>ROUND(K279*IF(F279="Electronics",18%,IF(F279="Office Supplies",22%,IF(F279="Furniture",15%,25%))),0)</x:f>
        <x:v>212</x:v>
      </x:c>
      <x:c r="M279" s="14" t="str">
        <x:v>Cash</x:v>
      </x:c>
      <x:c r="N279" s="15" t="str">
        <x:v>Corporate</x:v>
      </x:c>
    </x:row>
    <x:row r="280">
      <x:c r="A280" s="13" t="str">
        <x:v>ORD-0279</x:v>
      </x:c>
      <x:c r="B280" s="29" t="n">
        <x:v>45753</x:v>
      </x:c>
      <x:c r="C280" s="14" t="str">
        <x:f>TEXT(B280,"mmm-yyyy")</x:f>
        <x:v>Apr-2025</x:v>
      </x:c>
      <x:c r="D280" s="14" t="str">
        <x:v>Bengaluru</x:v>
      </x:c>
      <x:c r="E280" s="14" t="str">
        <x:v>South</x:v>
      </x:c>
      <x:c r="F280" s="14" t="str">
        <x:v>Accessories</x:v>
      </x:c>
      <x:c r="G280" s="14" t="str">
        <x:v>Desk Lamp</x:v>
      </x:c>
      <x:c r="H280" s="47" t="n">
        <x:v>1</x:v>
      </x:c>
      <x:c r="I280" s="35" t="n">
        <x:v>870</x:v>
      </x:c>
      <x:c r="J280" s="41" t="n">
        <x:v>0.05</x:v>
      </x:c>
      <x:c r="K280" s="35" t="n">
        <x:f>ROUND(H280*I280*(1-J280),0)</x:f>
        <x:v>827</x:v>
      </x:c>
      <x:c r="L280" s="35" t="n">
        <x:f>ROUND(K280*IF(F280="Electronics",18%,IF(F280="Office Supplies",22%,IF(F280="Furniture",15%,25%))),0)</x:f>
        <x:v>207</x:v>
      </x:c>
      <x:c r="M280" s="14" t="str">
        <x:v>Debit Card</x:v>
      </x:c>
      <x:c r="N280" s="15" t="str">
        <x:v>Corporate</x:v>
      </x:c>
    </x:row>
    <x:row r="281">
      <x:c r="A281" s="13" t="str">
        <x:v>ORD-0280</x:v>
      </x:c>
      <x:c r="B281" s="29" t="n">
        <x:v>45890</x:v>
      </x:c>
      <x:c r="C281" s="14" t="str">
        <x:f>TEXT(B281,"mmm-yyyy")</x:f>
        <x:v>Aug-2025</x:v>
      </x:c>
      <x:c r="D281" s="14" t="str">
        <x:v>Kolkata</x:v>
      </x:c>
      <x:c r="E281" s="14" t="str">
        <x:v>East</x:v>
      </x:c>
      <x:c r="F281" s="14" t="str">
        <x:v>Furniture</x:v>
      </x:c>
      <x:c r="G281" s="14" t="str">
        <x:v>Office Chair</x:v>
      </x:c>
      <x:c r="H281" s="47" t="n">
        <x:v>3</x:v>
      </x:c>
      <x:c r="I281" s="35" t="n">
        <x:v>5350</x:v>
      </x:c>
      <x:c r="J281" s="41" t="n">
        <x:v>0.15</x:v>
      </x:c>
      <x:c r="K281" s="35" t="n">
        <x:f>ROUND(H281*I281*(1-J281),0)</x:f>
        <x:v>13643</x:v>
      </x:c>
      <x:c r="L281" s="35" t="n">
        <x:f>ROUND(K281*IF(F281="Electronics",18%,IF(F281="Office Supplies",22%,IF(F281="Furniture",15%,25%))),0)</x:f>
        <x:v>2046</x:v>
      </x:c>
      <x:c r="M281" s="14" t="str">
        <x:v>Cash</x:v>
      </x:c>
      <x:c r="N281" s="15" t="str">
        <x:v>Corporate</x:v>
      </x:c>
    </x:row>
    <x:row r="282">
      <x:c r="A282" s="13" t="str">
        <x:v>ORD-0281</x:v>
      </x:c>
      <x:c r="B282" s="29" t="n">
        <x:v>45756</x:v>
      </x:c>
      <x:c r="C282" s="14" t="str">
        <x:f>TEXT(B282,"mmm-yyyy")</x:f>
        <x:v>Apr-2025</x:v>
      </x:c>
      <x:c r="D282" s="14" t="str">
        <x:v>Pune</x:v>
      </x:c>
      <x:c r="E282" s="14" t="str">
        <x:v>West</x:v>
      </x:c>
      <x:c r="F282" s="14" t="str">
        <x:v>Office Supplies</x:v>
      </x:c>
      <x:c r="G282" s="14" t="str">
        <x:v>Desk Organizer</x:v>
      </x:c>
      <x:c r="H282" s="47" t="n">
        <x:v>1</x:v>
      </x:c>
      <x:c r="I282" s="35" t="n">
        <x:v>694</x:v>
      </x:c>
      <x:c r="J282" s="41" t="n">
        <x:v>0</x:v>
      </x:c>
      <x:c r="K282" s="35" t="n">
        <x:f>ROUND(H282*I282*(1-J282),0)</x:f>
        <x:v>694</x:v>
      </x:c>
      <x:c r="L282" s="35" t="n">
        <x:f>ROUND(K282*IF(F282="Electronics",18%,IF(F282="Office Supplies",22%,IF(F282="Furniture",15%,25%))),0)</x:f>
        <x:v>153</x:v>
      </x:c>
      <x:c r="M282" s="14" t="str">
        <x:v>Credit Card</x:v>
      </x:c>
      <x:c r="N282" s="15" t="str">
        <x:v>Consumer</x:v>
      </x:c>
    </x:row>
    <x:row r="283">
      <x:c r="A283" s="13" t="str">
        <x:v>ORD-0282</x:v>
      </x:c>
      <x:c r="B283" s="29" t="n">
        <x:v>45830</x:v>
      </x:c>
      <x:c r="C283" s="14" t="str">
        <x:f>TEXT(B283,"mmm-yyyy")</x:f>
        <x:v>Jun-2025</x:v>
      </x:c>
      <x:c r="D283" s="14" t="str">
        <x:v>Bengaluru</x:v>
      </x:c>
      <x:c r="E283" s="14" t="str">
        <x:v>South</x:v>
      </x:c>
      <x:c r="F283" s="14" t="str">
        <x:v>Furniture</x:v>
      </x:c>
      <x:c r="G283" s="14" t="str">
        <x:v>Study Table</x:v>
      </x:c>
      <x:c r="H283" s="47" t="n">
        <x:v>4</x:v>
      </x:c>
      <x:c r="I283" s="35" t="n">
        <x:v>6655</x:v>
      </x:c>
      <x:c r="J283" s="41" t="n">
        <x:v>0.05</x:v>
      </x:c>
      <x:c r="K283" s="35" t="n">
        <x:f>ROUND(H283*I283*(1-J283),0)</x:f>
        <x:v>25289</x:v>
      </x:c>
      <x:c r="L283" s="35" t="n">
        <x:f>ROUND(K283*IF(F283="Electronics",18%,IF(F283="Office Supplies",22%,IF(F283="Furniture",15%,25%))),0)</x:f>
        <x:v>3793</x:v>
      </x:c>
      <x:c r="M283" s="14" t="str">
        <x:v>Cash</x:v>
      </x:c>
      <x:c r="N283" s="15" t="str">
        <x:v>Corporate</x:v>
      </x:c>
    </x:row>
    <x:row r="284">
      <x:c r="A284" s="13" t="str">
        <x:v>ORD-0283</x:v>
      </x:c>
      <x:c r="B284" s="29" t="n">
        <x:v>45921</x:v>
      </x:c>
      <x:c r="C284" s="14" t="str">
        <x:f>TEXT(B284,"mmm-yyyy")</x:f>
        <x:v>Sep-2025</x:v>
      </x:c>
      <x:c r="D284" s="14" t="str">
        <x:v>Chennai</x:v>
      </x:c>
      <x:c r="E284" s="14" t="str">
        <x:v>South</x:v>
      </x:c>
      <x:c r="F284" s="14" t="str">
        <x:v>Electronics</x:v>
      </x:c>
      <x:c r="G284" s="14" t="str">
        <x:v>Wireless Mouse</x:v>
      </x:c>
      <x:c r="H284" s="47" t="n">
        <x:v>2</x:v>
      </x:c>
      <x:c r="I284" s="35" t="n">
        <x:v>747</x:v>
      </x:c>
      <x:c r="J284" s="41" t="n">
        <x:v>0.2</x:v>
      </x:c>
      <x:c r="K284" s="35" t="n">
        <x:f>ROUND(H284*I284*(1-J284),0)</x:f>
        <x:v>1195</x:v>
      </x:c>
      <x:c r="L284" s="35" t="n">
        <x:f>ROUND(K284*IF(F284="Electronics",18%,IF(F284="Office Supplies",22%,IF(F284="Furniture",15%,25%))),0)</x:f>
        <x:v>215</x:v>
      </x:c>
      <x:c r="M284" s="14" t="str">
        <x:v>Cash</x:v>
      </x:c>
      <x:c r="N284" s="15" t="str">
        <x:v>Corporate</x:v>
      </x:c>
    </x:row>
    <x:row r="285">
      <x:c r="A285" s="13" t="str">
        <x:v>ORD-0284</x:v>
      </x:c>
      <x:c r="B285" s="29" t="n">
        <x:v>45785</x:v>
      </x:c>
      <x:c r="C285" s="14" t="str">
        <x:f>TEXT(B285,"mmm-yyyy")</x:f>
        <x:v>May-2025</x:v>
      </x:c>
      <x:c r="D285" s="14" t="str">
        <x:v>Nagpur</x:v>
      </x:c>
      <x:c r="E285" s="14" t="str">
        <x:v>West</x:v>
      </x:c>
      <x:c r="F285" s="14" t="str">
        <x:v>Office Supplies</x:v>
      </x:c>
      <x:c r="G285" s="14" t="str">
        <x:v>Notebook Pack</x:v>
      </x:c>
      <x:c r="H285" s="47" t="n">
        <x:v>2</x:v>
      </x:c>
      <x:c r="I285" s="35" t="n">
        <x:v>247</x:v>
      </x:c>
      <x:c r="J285" s="41" t="n">
        <x:v>0</x:v>
      </x:c>
      <x:c r="K285" s="35" t="n">
        <x:f>ROUND(H285*I285*(1-J285),0)</x:f>
        <x:v>494</x:v>
      </x:c>
      <x:c r="L285" s="35" t="n">
        <x:f>ROUND(K285*IF(F285="Electronics",18%,IF(F285="Office Supplies",22%,IF(F285="Furniture",15%,25%))),0)</x:f>
        <x:v>109</x:v>
      </x:c>
      <x:c r="M285" s="14" t="str">
        <x:v>Debit Card</x:v>
      </x:c>
      <x:c r="N285" s="15" t="str">
        <x:v>Corporate</x:v>
      </x:c>
    </x:row>
    <x:row r="286">
      <x:c r="A286" s="13" t="str">
        <x:v>ORD-0285</x:v>
      </x:c>
      <x:c r="B286" s="29" t="n">
        <x:v>45956</x:v>
      </x:c>
      <x:c r="C286" s="14" t="str">
        <x:f>TEXT(B286,"mmm-yyyy")</x:f>
        <x:v>Oct-2025</x:v>
      </x:c>
      <x:c r="D286" s="14" t="str">
        <x:v>Bhopal</x:v>
      </x:c>
      <x:c r="E286" s="14" t="str">
        <x:v>Central</x:v>
      </x:c>
      <x:c r="F286" s="14" t="str">
        <x:v>Electronics</x:v>
      </x:c>
      <x:c r="G286" s="14" t="str">
        <x:v>Laptop Stand</x:v>
      </x:c>
      <x:c r="H286" s="47" t="n">
        <x:v>2</x:v>
      </x:c>
      <x:c r="I286" s="35" t="n">
        <x:v>1270</x:v>
      </x:c>
      <x:c r="J286" s="41" t="n">
        <x:v>0</x:v>
      </x:c>
      <x:c r="K286" s="35" t="n">
        <x:f>ROUND(H286*I286*(1-J286),0)</x:f>
        <x:v>2540</x:v>
      </x:c>
      <x:c r="L286" s="35" t="n">
        <x:f>ROUND(K286*IF(F286="Electronics",18%,IF(F286="Office Supplies",22%,IF(F286="Furniture",15%,25%))),0)</x:f>
        <x:v>457</x:v>
      </x:c>
      <x:c r="M286" s="14" t="str">
        <x:v>UPI</x:v>
      </x:c>
      <x:c r="N286" s="15" t="str">
        <x:v>Corporate</x:v>
      </x:c>
    </x:row>
    <x:row r="287">
      <x:c r="A287" s="13" t="str">
        <x:v>ORD-0286</x:v>
      </x:c>
      <x:c r="B287" s="29" t="n">
        <x:v>45815</x:v>
      </x:c>
      <x:c r="C287" s="14" t="str">
        <x:f>TEXT(B287,"mmm-yyyy")</x:f>
        <x:v>Jun-2025</x:v>
      </x:c>
      <x:c r="D287" s="14" t="str">
        <x:v>Mumbai</x:v>
      </x:c>
      <x:c r="E287" s="14" t="str">
        <x:v>West</x:v>
      </x:c>
      <x:c r="F287" s="14" t="str">
        <x:v>Office Supplies</x:v>
      </x:c>
      <x:c r="G287" s="14" t="str">
        <x:v>Ball Pen Set</x:v>
      </x:c>
      <x:c r="H287" s="47" t="n">
        <x:v>4</x:v>
      </x:c>
      <x:c r="I287" s="35" t="n">
        <x:v>212</x:v>
      </x:c>
      <x:c r="J287" s="41" t="n">
        <x:v>0.15</x:v>
      </x:c>
      <x:c r="K287" s="35" t="n">
        <x:f>ROUND(H287*I287*(1-J287),0)</x:f>
        <x:v>721</x:v>
      </x:c>
      <x:c r="L287" s="35" t="n">
        <x:f>ROUND(K287*IF(F287="Electronics",18%,IF(F287="Office Supplies",22%,IF(F287="Furniture",15%,25%))),0)</x:f>
        <x:v>159</x:v>
      </x:c>
      <x:c r="M287" s="14" t="str">
        <x:v>Debit Card</x:v>
      </x:c>
      <x:c r="N287" s="15" t="str">
        <x:v>Home Office</x:v>
      </x:c>
    </x:row>
    <x:row r="288">
      <x:c r="A288" s="13" t="str">
        <x:v>ORD-0287</x:v>
      </x:c>
      <x:c r="B288" s="29" t="n">
        <x:v>45718</x:v>
      </x:c>
      <x:c r="C288" s="14" t="str">
        <x:f>TEXT(B288,"mmm-yyyy")</x:f>
        <x:v>Mar-2025</x:v>
      </x:c>
      <x:c r="D288" s="14" t="str">
        <x:v>Bengaluru</x:v>
      </x:c>
      <x:c r="E288" s="14" t="str">
        <x:v>South</x:v>
      </x:c>
      <x:c r="F288" s="14" t="str">
        <x:v>Office Supplies</x:v>
      </x:c>
      <x:c r="G288" s="14" t="str">
        <x:v>Desk Organizer</x:v>
      </x:c>
      <x:c r="H288" s="47" t="n">
        <x:v>3</x:v>
      </x:c>
      <x:c r="I288" s="35" t="n">
        <x:v>668</x:v>
      </x:c>
      <x:c r="J288" s="41" t="n">
        <x:v>0</x:v>
      </x:c>
      <x:c r="K288" s="35" t="n">
        <x:f>ROUND(H288*I288*(1-J288),0)</x:f>
        <x:v>2004</x:v>
      </x:c>
      <x:c r="L288" s="35" t="n">
        <x:f>ROUND(K288*IF(F288="Electronics",18%,IF(F288="Office Supplies",22%,IF(F288="Furniture",15%,25%))),0)</x:f>
        <x:v>441</x:v>
      </x:c>
      <x:c r="M288" s="14" t="str">
        <x:v>Credit Card</x:v>
      </x:c>
      <x:c r="N288" s="15" t="str">
        <x:v>Corporate</x:v>
      </x:c>
    </x:row>
    <x:row r="289">
      <x:c r="A289" s="13" t="str">
        <x:v>ORD-0288</x:v>
      </x:c>
      <x:c r="B289" s="29" t="n">
        <x:v>45968</x:v>
      </x:c>
      <x:c r="C289" s="14" t="str">
        <x:f>TEXT(B289,"mmm-yyyy")</x:f>
        <x:v>Nov-2025</x:v>
      </x:c>
      <x:c r="D289" s="14" t="str">
        <x:v>Chennai</x:v>
      </x:c>
      <x:c r="E289" s="14" t="str">
        <x:v>South</x:v>
      </x:c>
      <x:c r="F289" s="14" t="str">
        <x:v>Office Supplies</x:v>
      </x:c>
      <x:c r="G289" s="14" t="str">
        <x:v>Ball Pen Set</x:v>
      </x:c>
      <x:c r="H289" s="47" t="n">
        <x:v>4</x:v>
      </x:c>
      <x:c r="I289" s="35" t="n">
        <x:v>212</x:v>
      </x:c>
      <x:c r="J289" s="41" t="n">
        <x:v>0.1</x:v>
      </x:c>
      <x:c r="K289" s="35" t="n">
        <x:f>ROUND(H289*I289*(1-J289),0)</x:f>
        <x:v>763</x:v>
      </x:c>
      <x:c r="L289" s="35" t="n">
        <x:f>ROUND(K289*IF(F289="Electronics",18%,IF(F289="Office Supplies",22%,IF(F289="Furniture",15%,25%))),0)</x:f>
        <x:v>168</x:v>
      </x:c>
      <x:c r="M289" s="14" t="str">
        <x:v>Credit Card</x:v>
      </x:c>
      <x:c r="N289" s="15" t="str">
        <x:v>Consumer</x:v>
      </x:c>
    </x:row>
    <x:row r="290">
      <x:c r="A290" s="13" t="str">
        <x:v>ORD-0289</x:v>
      </x:c>
      <x:c r="B290" s="29" t="n">
        <x:v>46006</x:v>
      </x:c>
      <x:c r="C290" s="14" t="str">
        <x:f>TEXT(B290,"mmm-yyyy")</x:f>
        <x:v>Dec-2025</x:v>
      </x:c>
      <x:c r="D290" s="14" t="str">
        <x:v>Bhopal</x:v>
      </x:c>
      <x:c r="E290" s="14" t="str">
        <x:v>Central</x:v>
      </x:c>
      <x:c r="F290" s="14" t="str">
        <x:v>Accessories</x:v>
      </x:c>
      <x:c r="G290" s="14" t="str">
        <x:v>Laptop Sleeve</x:v>
      </x:c>
      <x:c r="H290" s="47" t="n">
        <x:v>5</x:v>
      </x:c>
      <x:c r="I290" s="35" t="n">
        <x:v>702</x:v>
      </x:c>
      <x:c r="J290" s="41" t="n">
        <x:v>0.05</x:v>
      </x:c>
      <x:c r="K290" s="35" t="n">
        <x:f>ROUND(H290*I290*(1-J290),0)</x:f>
        <x:v>3335</x:v>
      </x:c>
      <x:c r="L290" s="35" t="n">
        <x:f>ROUND(K290*IF(F290="Electronics",18%,IF(F290="Office Supplies",22%,IF(F290="Furniture",15%,25%))),0)</x:f>
        <x:v>834</x:v>
      </x:c>
      <x:c r="M290" s="14" t="str">
        <x:v>Debit Card</x:v>
      </x:c>
      <x:c r="N290" s="15" t="str">
        <x:v>Consumer</x:v>
      </x:c>
    </x:row>
    <x:row r="291">
      <x:c r="A291" s="13" t="str">
        <x:v>ORD-0290</x:v>
      </x:c>
      <x:c r="B291" s="29" t="n">
        <x:v>45946</x:v>
      </x:c>
      <x:c r="C291" s="14" t="str">
        <x:f>TEXT(B291,"mmm-yyyy")</x:f>
        <x:v>Oct-2025</x:v>
      </x:c>
      <x:c r="D291" s="14" t="str">
        <x:v>Pune</x:v>
      </x:c>
      <x:c r="E291" s="14" t="str">
        <x:v>West</x:v>
      </x:c>
      <x:c r="F291" s="14" t="str">
        <x:v>Electronics</x:v>
      </x:c>
      <x:c r="G291" s="14" t="str">
        <x:v>Laptop Stand</x:v>
      </x:c>
      <x:c r="H291" s="47" t="n">
        <x:v>5</x:v>
      </x:c>
      <x:c r="I291" s="35" t="n">
        <x:v>1383</x:v>
      </x:c>
      <x:c r="J291" s="41" t="n">
        <x:v>0</x:v>
      </x:c>
      <x:c r="K291" s="35" t="n">
        <x:f>ROUND(H291*I291*(1-J291),0)</x:f>
        <x:v>6915</x:v>
      </x:c>
      <x:c r="L291" s="35" t="n">
        <x:f>ROUND(K291*IF(F291="Electronics",18%,IF(F291="Office Supplies",22%,IF(F291="Furniture",15%,25%))),0)</x:f>
        <x:v>1245</x:v>
      </x:c>
      <x:c r="M291" s="14" t="str">
        <x:v>Net Banking</x:v>
      </x:c>
      <x:c r="N291" s="15" t="str">
        <x:v>Consumer</x:v>
      </x:c>
    </x:row>
    <x:row r="292">
      <x:c r="A292" s="13" t="str">
        <x:v>ORD-0291</x:v>
      </x:c>
      <x:c r="B292" s="29" t="n">
        <x:v>45742</x:v>
      </x:c>
      <x:c r="C292" s="14" t="str">
        <x:f>TEXT(B292,"mmm-yyyy")</x:f>
        <x:v>Mar-2025</x:v>
      </x:c>
      <x:c r="D292" s="14" t="str">
        <x:v>Chennai</x:v>
      </x:c>
      <x:c r="E292" s="14" t="str">
        <x:v>South</x:v>
      </x:c>
      <x:c r="F292" s="14" t="str">
        <x:v>Accessories</x:v>
      </x:c>
      <x:c r="G292" s="14" t="str">
        <x:v>Laptop Sleeve</x:v>
      </x:c>
      <x:c r="H292" s="47" t="n">
        <x:v>3</x:v>
      </x:c>
      <x:c r="I292" s="35" t="n">
        <x:v>656</x:v>
      </x:c>
      <x:c r="J292" s="41" t="n">
        <x:v>0</x:v>
      </x:c>
      <x:c r="K292" s="35" t="n">
        <x:f>ROUND(H292*I292*(1-J292),0)</x:f>
        <x:v>1968</x:v>
      </x:c>
      <x:c r="L292" s="35" t="n">
        <x:f>ROUND(K292*IF(F292="Electronics",18%,IF(F292="Office Supplies",22%,IF(F292="Furniture",15%,25%))),0)</x:f>
        <x:v>492</x:v>
      </x:c>
      <x:c r="M292" s="14" t="str">
        <x:v>Net Banking</x:v>
      </x:c>
      <x:c r="N292" s="15" t="str">
        <x:v>Corporate</x:v>
      </x:c>
    </x:row>
    <x:row r="293">
      <x:c r="A293" s="13" t="str">
        <x:v>ORD-0292</x:v>
      </x:c>
      <x:c r="B293" s="29" t="n">
        <x:v>45704</x:v>
      </x:c>
      <x:c r="C293" s="14" t="str">
        <x:f>TEXT(B293,"mmm-yyyy")</x:f>
        <x:v>Feb-2025</x:v>
      </x:c>
      <x:c r="D293" s="14" t="str">
        <x:v>Kolkata</x:v>
      </x:c>
      <x:c r="E293" s="14" t="str">
        <x:v>East</x:v>
      </x:c>
      <x:c r="F293" s="14" t="str">
        <x:v>Office Supplies</x:v>
      </x:c>
      <x:c r="G293" s="14" t="str">
        <x:v>Printer Paper</x:v>
      </x:c>
      <x:c r="H293" s="47" t="n">
        <x:v>5</x:v>
      </x:c>
      <x:c r="I293" s="35" t="n">
        <x:v>396</x:v>
      </x:c>
      <x:c r="J293" s="41" t="n">
        <x:v>0.05</x:v>
      </x:c>
      <x:c r="K293" s="35" t="n">
        <x:f>ROUND(H293*I293*(1-J293),0)</x:f>
        <x:v>1881</x:v>
      </x:c>
      <x:c r="L293" s="35" t="n">
        <x:f>ROUND(K293*IF(F293="Electronics",18%,IF(F293="Office Supplies",22%,IF(F293="Furniture",15%,25%))),0)</x:f>
        <x:v>414</x:v>
      </x:c>
      <x:c r="M293" s="14" t="str">
        <x:v>Cash</x:v>
      </x:c>
      <x:c r="N293" s="15" t="str">
        <x:v>Home Office</x:v>
      </x:c>
    </x:row>
    <x:row r="294">
      <x:c r="A294" s="13" t="str">
        <x:v>ORD-0293</x:v>
      </x:c>
      <x:c r="B294" s="29" t="n">
        <x:v>45687</x:v>
      </x:c>
      <x:c r="C294" s="14" t="str">
        <x:f>TEXT(B294,"mmm-yyyy")</x:f>
        <x:v>Jan-2025</x:v>
      </x:c>
      <x:c r="D294" s="14" t="str">
        <x:v>Kolkata</x:v>
      </x:c>
      <x:c r="E294" s="14" t="str">
        <x:v>East</x:v>
      </x:c>
      <x:c r="F294" s="14" t="str">
        <x:v>Office Supplies</x:v>
      </x:c>
      <x:c r="G294" s="14" t="str">
        <x:v>Printer Paper</x:v>
      </x:c>
      <x:c r="H294" s="47" t="n">
        <x:v>4</x:v>
      </x:c>
      <x:c r="I294" s="35" t="n">
        <x:v>387</x:v>
      </x:c>
      <x:c r="J294" s="41" t="n">
        <x:v>0</x:v>
      </x:c>
      <x:c r="K294" s="35" t="n">
        <x:f>ROUND(H294*I294*(1-J294),0)</x:f>
        <x:v>1548</x:v>
      </x:c>
      <x:c r="L294" s="35" t="n">
        <x:f>ROUND(K294*IF(F294="Electronics",18%,IF(F294="Office Supplies",22%,IF(F294="Furniture",15%,25%))),0)</x:f>
        <x:v>341</x:v>
      </x:c>
      <x:c r="M294" s="14" t="str">
        <x:v>Debit Card</x:v>
      </x:c>
      <x:c r="N294" s="15" t="str">
        <x:v>Consumer</x:v>
      </x:c>
    </x:row>
    <x:row r="295">
      <x:c r="A295" s="13" t="str">
        <x:v>ORD-0294</x:v>
      </x:c>
      <x:c r="B295" s="29" t="n">
        <x:v>45769</x:v>
      </x:c>
      <x:c r="C295" s="14" t="str">
        <x:f>TEXT(B295,"mmm-yyyy")</x:f>
        <x:v>Apr-2025</x:v>
      </x:c>
      <x:c r="D295" s="14" t="str">
        <x:v>Bhopal</x:v>
      </x:c>
      <x:c r="E295" s="14" t="str">
        <x:v>Central</x:v>
      </x:c>
      <x:c r="F295" s="14" t="str">
        <x:v>Electronics</x:v>
      </x:c>
      <x:c r="G295" s="14" t="str">
        <x:v>Wireless Mouse</x:v>
      </x:c>
      <x:c r="H295" s="47" t="n">
        <x:v>1</x:v>
      </x:c>
      <x:c r="I295" s="35" t="n">
        <x:v>779</x:v>
      </x:c>
      <x:c r="J295" s="41" t="n">
        <x:v>0</x:v>
      </x:c>
      <x:c r="K295" s="35" t="n">
        <x:f>ROUND(H295*I295*(1-J295),0)</x:f>
        <x:v>779</x:v>
      </x:c>
      <x:c r="L295" s="35" t="n">
        <x:f>ROUND(K295*IF(F295="Electronics",18%,IF(F295="Office Supplies",22%,IF(F295="Furniture",15%,25%))),0)</x:f>
        <x:v>140</x:v>
      </x:c>
      <x:c r="M295" s="14" t="str">
        <x:v>UPI</x:v>
      </x:c>
      <x:c r="N295" s="15" t="str">
        <x:v>Consumer</x:v>
      </x:c>
    </x:row>
    <x:row r="296">
      <x:c r="A296" s="13" t="str">
        <x:v>ORD-0295</x:v>
      </x:c>
      <x:c r="B296" s="29" t="n">
        <x:v>45899</x:v>
      </x:c>
      <x:c r="C296" s="14" t="str">
        <x:f>TEXT(B296,"mmm-yyyy")</x:f>
        <x:v>Aug-2025</x:v>
      </x:c>
      <x:c r="D296" s="14" t="str">
        <x:v>Nagpur</x:v>
      </x:c>
      <x:c r="E296" s="14" t="str">
        <x:v>West</x:v>
      </x:c>
      <x:c r="F296" s="14" t="str">
        <x:v>Office Supplies</x:v>
      </x:c>
      <x:c r="G296" s="14" t="str">
        <x:v>Notebook Pack</x:v>
      </x:c>
      <x:c r="H296" s="47" t="n">
        <x:v>2</x:v>
      </x:c>
      <x:c r="I296" s="35" t="n">
        <x:v>260</x:v>
      </x:c>
      <x:c r="J296" s="41" t="n">
        <x:v>0.1</x:v>
      </x:c>
      <x:c r="K296" s="35" t="n">
        <x:f>ROUND(H296*I296*(1-J296),0)</x:f>
        <x:v>468</x:v>
      </x:c>
      <x:c r="L296" s="35" t="n">
        <x:f>ROUND(K296*IF(F296="Electronics",18%,IF(F296="Office Supplies",22%,IF(F296="Furniture",15%,25%))),0)</x:f>
        <x:v>103</x:v>
      </x:c>
      <x:c r="M296" s="14" t="str">
        <x:v>Cash</x:v>
      </x:c>
      <x:c r="N296" s="15" t="str">
        <x:v>Corporate</x:v>
      </x:c>
    </x:row>
    <x:row r="297">
      <x:c r="A297" s="13" t="str">
        <x:v>ORD-0296</x:v>
      </x:c>
      <x:c r="B297" s="29" t="n">
        <x:v>45853</x:v>
      </x:c>
      <x:c r="C297" s="14" t="str">
        <x:f>TEXT(B297,"mmm-yyyy")</x:f>
        <x:v>Jul-2025</x:v>
      </x:c>
      <x:c r="D297" s="14" t="str">
        <x:v>Jaipur</x:v>
      </x:c>
      <x:c r="E297" s="14" t="str">
        <x:v>North</x:v>
      </x:c>
      <x:c r="F297" s="14" t="str">
        <x:v>Accessories</x:v>
      </x:c>
      <x:c r="G297" s="14" t="str">
        <x:v>Laptop Sleeve</x:v>
      </x:c>
      <x:c r="H297" s="47" t="n">
        <x:v>6</x:v>
      </x:c>
      <x:c r="I297" s="35" t="n">
        <x:v>685</x:v>
      </x:c>
      <x:c r="J297" s="41" t="n">
        <x:v>0</x:v>
      </x:c>
      <x:c r="K297" s="35" t="n">
        <x:f>ROUND(H297*I297*(1-J297),0)</x:f>
        <x:v>4110</x:v>
      </x:c>
      <x:c r="L297" s="35" t="n">
        <x:f>ROUND(K297*IF(F297="Electronics",18%,IF(F297="Office Supplies",22%,IF(F297="Furniture",15%,25%))),0)</x:f>
        <x:v>1028</x:v>
      </x:c>
      <x:c r="M297" s="14" t="str">
        <x:v>Net Banking</x:v>
      </x:c>
      <x:c r="N297" s="15" t="str">
        <x:v>Consumer</x:v>
      </x:c>
    </x:row>
    <x:row r="298">
      <x:c r="A298" s="13" t="str">
        <x:v>ORD-0297</x:v>
      </x:c>
      <x:c r="B298" s="29" t="n">
        <x:v>45992</x:v>
      </x:c>
      <x:c r="C298" s="14" t="str">
        <x:f>TEXT(B298,"mmm-yyyy")</x:f>
        <x:v>Dec-2025</x:v>
      </x:c>
      <x:c r="D298" s="14" t="str">
        <x:v>Chennai</x:v>
      </x:c>
      <x:c r="E298" s="14" t="str">
        <x:v>South</x:v>
      </x:c>
      <x:c r="F298" s="14" t="str">
        <x:v>Electronics</x:v>
      </x:c>
      <x:c r="G298" s="14" t="str">
        <x:v>Wireless Mouse</x:v>
      </x:c>
      <x:c r="H298" s="47" t="n">
        <x:v>1</x:v>
      </x:c>
      <x:c r="I298" s="35" t="n">
        <x:v>804</x:v>
      </x:c>
      <x:c r="J298" s="41" t="n">
        <x:v>0.05</x:v>
      </x:c>
      <x:c r="K298" s="35" t="n">
        <x:f>ROUND(H298*I298*(1-J298),0)</x:f>
        <x:v>764</x:v>
      </x:c>
      <x:c r="L298" s="35" t="n">
        <x:f>ROUND(K298*IF(F298="Electronics",18%,IF(F298="Office Supplies",22%,IF(F298="Furniture",15%,25%))),0)</x:f>
        <x:v>138</x:v>
      </x:c>
      <x:c r="M298" s="14" t="str">
        <x:v>Credit Card</x:v>
      </x:c>
      <x:c r="N298" s="15" t="str">
        <x:v>Consumer</x:v>
      </x:c>
    </x:row>
    <x:row r="299">
      <x:c r="A299" s="13" t="str">
        <x:v>ORD-0298</x:v>
      </x:c>
      <x:c r="B299" s="29" t="n">
        <x:v>45669</x:v>
      </x:c>
      <x:c r="C299" s="14" t="str">
        <x:f>TEXT(B299,"mmm-yyyy")</x:f>
        <x:v>Jan-2025</x:v>
      </x:c>
      <x:c r="D299" s="14" t="str">
        <x:v>Bengaluru</x:v>
      </x:c>
      <x:c r="E299" s="14" t="str">
        <x:v>South</x:v>
      </x:c>
      <x:c r="F299" s="14" t="str">
        <x:v>Office Supplies</x:v>
      </x:c>
      <x:c r="G299" s="14" t="str">
        <x:v>Printer Paper</x:v>
      </x:c>
      <x:c r="H299" s="47" t="n">
        <x:v>4</x:v>
      </x:c>
      <x:c r="I299" s="35" t="n">
        <x:v>402</x:v>
      </x:c>
      <x:c r="J299" s="41" t="n">
        <x:v>0.05</x:v>
      </x:c>
      <x:c r="K299" s="35" t="n">
        <x:f>ROUND(H299*I299*(1-J299),0)</x:f>
        <x:v>1528</x:v>
      </x:c>
      <x:c r="L299" s="35" t="n">
        <x:f>ROUND(K299*IF(F299="Electronics",18%,IF(F299="Office Supplies",22%,IF(F299="Furniture",15%,25%))),0)</x:f>
        <x:v>336</x:v>
      </x:c>
      <x:c r="M299" s="14" t="str">
        <x:v>Credit Card</x:v>
      </x:c>
      <x:c r="N299" s="15" t="str">
        <x:v>Consumer</x:v>
      </x:c>
    </x:row>
    <x:row r="300">
      <x:c r="A300" s="13" t="str">
        <x:v>ORD-0299</x:v>
      </x:c>
      <x:c r="B300" s="29" t="n">
        <x:v>45893</x:v>
      </x:c>
      <x:c r="C300" s="14" t="str">
        <x:f>TEXT(B300,"mmm-yyyy")</x:f>
        <x:v>Aug-2025</x:v>
      </x:c>
      <x:c r="D300" s="14" t="str">
        <x:v>Chennai</x:v>
      </x:c>
      <x:c r="E300" s="14" t="str">
        <x:v>South</x:v>
      </x:c>
      <x:c r="F300" s="14" t="str">
        <x:v>Electronics</x:v>
      </x:c>
      <x:c r="G300" s="14" t="str">
        <x:v>Bluetooth Speaker</x:v>
      </x:c>
      <x:c r="H300" s="47" t="n">
        <x:v>2</x:v>
      </x:c>
      <x:c r="I300" s="35" t="n">
        <x:v>1604</x:v>
      </x:c>
      <x:c r="J300" s="41" t="n">
        <x:v>0.1</x:v>
      </x:c>
      <x:c r="K300" s="35" t="n">
        <x:f>ROUND(H300*I300*(1-J300),0)</x:f>
        <x:v>2887</x:v>
      </x:c>
      <x:c r="L300" s="35" t="n">
        <x:f>ROUND(K300*IF(F300="Electronics",18%,IF(F300="Office Supplies",22%,IF(F300="Furniture",15%,25%))),0)</x:f>
        <x:v>520</x:v>
      </x:c>
      <x:c r="M300" s="14" t="str">
        <x:v>UPI</x:v>
      </x:c>
      <x:c r="N300" s="15" t="str">
        <x:v>Consumer</x:v>
      </x:c>
    </x:row>
    <x:row r="301">
      <x:c r="A301" s="16" t="str">
        <x:v>ORD-0300</x:v>
      </x:c>
      <x:c r="B301" s="30" t="n">
        <x:v>45996</x:v>
      </x:c>
      <x:c r="C301" s="17" t="str">
        <x:f>TEXT(B301,"mmm-yyyy")</x:f>
        <x:v>Dec-2025</x:v>
      </x:c>
      <x:c r="D301" s="17" t="str">
        <x:v>Delhi</x:v>
      </x:c>
      <x:c r="E301" s="17" t="str">
        <x:v>North</x:v>
      </x:c>
      <x:c r="F301" s="17" t="str">
        <x:v>Furniture</x:v>
      </x:c>
      <x:c r="G301" s="17" t="str">
        <x:v>Study Table</x:v>
      </x:c>
      <x:c r="H301" s="48" t="n">
        <x:v>4</x:v>
      </x:c>
      <x:c r="I301" s="36" t="n">
        <x:v>7429</x:v>
      </x:c>
      <x:c r="J301" s="42" t="n">
        <x:v>0</x:v>
      </x:c>
      <x:c r="K301" s="36" t="n">
        <x:f>ROUND(H301*I301*(1-J301),0)</x:f>
        <x:v>29716</x:v>
      </x:c>
      <x:c r="L301" s="36" t="n">
        <x:f>ROUND(K301*IF(F301="Electronics",18%,IF(F301="Office Supplies",22%,IF(F301="Furniture",15%,25%))),0)</x:f>
        <x:v>4457</x:v>
      </x:c>
      <x:c r="M301" s="17" t="str">
        <x:v>Credit Card</x:v>
      </x:c>
      <x:c r="N301" s="18" t="str">
        <x:v>Consumer</x:v>
      </x:c>
    </x:row>
  </x:sheetData>
  <x:pageMargins left="0.7" right="0.7" top="0.75" bottom="0.75" header="0.3" footer="0.3"/>
  <x:tableParts count="1">
    <x:tablePart xmlns:r="http://schemas.openxmlformats.org/officeDocument/2006/relationships" r:id="R877f54eb921044c0"/>
  </x:tableParts>
</x:worksheet>
</file>

<file path=xl/worksheets/sheet2.xml><?xml version="1.0" encoding="utf-8"?>
<x:worksheet xmlns:x="http://schemas.openxmlformats.org/spreadsheetml/2006/main">
  <x:sheetFormatPr defaultRowHeight="15"/>
  <x:cols>
    <x:col min="1" max="1" width="8" hidden="0" customWidth="1"/>
    <x:col min="2" max="2" width="14" hidden="0" customWidth="1"/>
    <x:col min="3" max="3" width="14" hidden="0" customWidth="1"/>
    <x:col min="4" max="4" width="8" hidden="0" customWidth="1"/>
    <x:col min="5" max="5" width="22" hidden="0" customWidth="1"/>
    <x:col min="6" max="6" width="14" hidden="0" customWidth="1"/>
    <x:col min="7" max="7" width="10"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30" customHeight="1">
      <x:c r="A1" s="54" t="str">
        <x:v>Sales Performance Dashboard - Data Analytics Project</x:v>
      </x:c>
    </x:row>
    <x:row r="2">
      <x:c r="A2" s="84" t="str">
        <x:v>Created for Vansh Asati | Tools: Excel + Power BI | Dataset: 300 synthetic sales records</x:v>
      </x:c>
    </x:row>
    <x:row r="4">
      <x:c r="A4" s="60" t="str">
        <x:v>Total Sales</x:v>
      </x:c>
      <x:c r="B4" s="60"/>
      <x:c r="C4" s="60" t="str">
        <x:v>Total Profit</x:v>
      </x:c>
      <x:c r="D4" s="60"/>
      <x:c r="E4" s="60" t="str">
        <x:v>Total Orders</x:v>
      </x:c>
      <x:c r="F4" s="60"/>
      <x:c r="G4" s="60" t="str">
        <x:v>Units Sold</x:v>
      </x:c>
      <x:c r="H4" s="60"/>
    </x:row>
    <x:row r="5">
      <x:c r="A5" s="220" t="str">
        <x:f>"₹"&amp;TEXT(SUM(Raw_Data!$K$2:$K$301),"#,##0")</x:f>
        <x:v>₹1,486,843</x:v>
      </x:c>
      <x:c r="B5" s="220"/>
      <x:c r="C5" s="220" t="str">
        <x:f>"₹"&amp;TEXT(SUM(Raw_Data!$L$2:$L$301),"#,##0")</x:f>
        <x:v>₹253,045</x:v>
      </x:c>
      <x:c r="D5" s="220"/>
      <x:c r="E5" s="222" t="str">
        <x:f>TEXT(COUNTA(Raw_Data!$A$2:$A$301),"0")</x:f>
        <x:v>300</x:v>
      </x:c>
      <x:c r="F5" s="222"/>
      <x:c r="G5" s="222" t="str">
        <x:f>TEXT(SUM(Raw_Data!$H$2:$H$301),"0")</x:f>
        <x:v>962</x:v>
      </x:c>
      <x:c r="H5" s="222"/>
    </x:row>
    <x:row r="7">
      <x:c r="A7" s="100" t="str">
        <x:v>Average Order Value</x:v>
      </x:c>
      <x:c r="B7" s="100"/>
      <x:c r="C7" s="100" t="str">
        <x:v>Best City</x:v>
      </x:c>
      <x:c r="D7" s="100"/>
      <x:c r="E7" s="100" t="str">
        <x:v>Best Product</x:v>
      </x:c>
      <x:c r="F7" s="100"/>
      <x:c r="G7" s="100" t="str">
        <x:v>Profit Margin</x:v>
      </x:c>
      <x:c r="H7" s="100"/>
    </x:row>
    <x:row r="8">
      <x:c r="A8" s="205" t="str">
        <x:f>"₹"&amp;TEXT(ROUND(SUM(Raw_Data!$K$2:$K$301)/COUNTA(Raw_Data!$A$2:$A$301),0),"#,##0")</x:f>
        <x:v>₹4,956</x:v>
      </x:c>
      <x:c r="B8" s="205"/>
      <x:c r="C8" s="210" t="str">
        <x:f>INDEX(City_Analysis!$A$4:$A$13,MATCH(1,City_Analysis!$D$4:$D$13,0))</x:f>
        <x:v>Bhopal</x:v>
      </x:c>
      <x:c r="D8" s="210"/>
      <x:c r="E8" s="210" t="str">
        <x:f>INDEX(Product_Analysis!$A$4:$A$18,MATCH(1,Product_Analysis!$D$4:$D$18,0))</x:f>
        <x:v>Study Table</x:v>
      </x:c>
      <x:c r="F8" s="210"/>
      <x:c r="G8" s="215" t="str">
        <x:f>TEXT(SUM(Raw_Data!$L$2:$L$301)/SUM(Raw_Data!$K$2:$K$301),"0.0%")</x:f>
        <x:v>17.0%</x:v>
      </x:c>
      <x:c r="H8" s="215"/>
    </x:row>
    <x:row r="10">
      <x:c r="A10" s="4" t="str">
        <x:v>Monthly Revenue</x:v>
      </x:c>
      <x:c r="D10" s="4" t="str">
        <x:v>Top Products</x:v>
      </x:c>
    </x:row>
    <x:row r="11">
      <x:c r="A11" s="70" t="str">
        <x:v>Month</x:v>
      </x:c>
      <x:c r="B11" s="72" t="str">
        <x:v>Sales (INR)</x:v>
      </x:c>
      <x:c r="D11" s="70" t="str">
        <x:v>Rank</x:v>
      </x:c>
      <x:c r="E11" s="71" t="str">
        <x:v>Product</x:v>
      </x:c>
      <x:c r="F11" s="72" t="str">
        <x:v>Sales (INR)</x:v>
      </x:c>
    </x:row>
    <x:row r="12">
      <x:c r="A12" s="158" t="str">
        <x:f>TEXT(Monthly_Analysis!A4,"mmm")</x:f>
        <x:v>Jan</x:v>
      </x:c>
      <x:c r="B12" s="121" t="str">
        <x:f>"₹"&amp;TEXT(Monthly_Analysis!B4,"#,##0")</x:f>
        <x:v>₹98,237</x:v>
      </x:c>
      <x:c r="D12" s="128" t="n">
        <x:v>1</x:v>
      </x:c>
      <x:c r="E12" s="129" t="str">
        <x:f>INDEX(Product_Analysis!$A$4:$A$18,MATCH(D12,Product_Analysis!$D$4:$D$18,0))</x:f>
        <x:v>Study Table</x:v>
      </x:c>
      <x:c r="F12" s="121" t="str">
        <x:f>"₹"&amp;TEXT(INDEX(Product_Analysis!$B$4:$B$18,MATCH(D12,Product_Analysis!$D$4:$D$18,0)),"#,##0")</x:f>
        <x:v>₹533,824</x:v>
      </x:c>
    </x:row>
    <x:row r="13">
      <x:c r="A13" s="158" t="str">
        <x:f>TEXT(Monthly_Analysis!A5,"mmm")</x:f>
        <x:v>Feb</x:v>
      </x:c>
      <x:c r="B13" s="121" t="str">
        <x:f>"₹"&amp;TEXT(Monthly_Analysis!B5,"#,##0")</x:f>
        <x:v>₹110,001</x:v>
      </x:c>
      <x:c r="D13" s="128" t="n">
        <x:v>2</x:v>
      </x:c>
      <x:c r="E13" s="129" t="str">
        <x:f>INDEX(Product_Analysis!$A$4:$A$18,MATCH(D13,Product_Analysis!$D$4:$D$18,0))</x:f>
        <x:v>Office Chair</x:v>
      </x:c>
      <x:c r="F13" s="121" t="str">
        <x:f>"₹"&amp;TEXT(INDEX(Product_Analysis!$B$4:$B$18,MATCH(D13,Product_Analysis!$D$4:$D$18,0)),"#,##0")</x:f>
        <x:v>₹269,370</x:v>
      </x:c>
    </x:row>
    <x:row r="14">
      <x:c r="A14" s="158" t="str">
        <x:f>TEXT(Monthly_Analysis!A6,"mmm")</x:f>
        <x:v>Mar</x:v>
      </x:c>
      <x:c r="B14" s="121" t="str">
        <x:f>"₹"&amp;TEXT(Monthly_Analysis!B6,"#,##0")</x:f>
        <x:v>₹145,982</x:v>
      </x:c>
      <x:c r="D14" s="128" t="n">
        <x:v>3</x:v>
      </x:c>
      <x:c r="E14" s="129" t="str">
        <x:f>INDEX(Product_Analysis!$A$4:$A$18,MATCH(D14,Product_Analysis!$D$4:$D$18,0))</x:f>
        <x:v>Bookshelf</x:v>
      </x:c>
      <x:c r="F14" s="121" t="str">
        <x:f>"₹"&amp;TEXT(INDEX(Product_Analysis!$B$4:$B$18,MATCH(D14,Product_Analysis!$D$4:$D$18,0)),"#,##0")</x:f>
        <x:v>₹211,100</x:v>
      </x:c>
    </x:row>
    <x:row r="15">
      <x:c r="A15" s="158" t="str">
        <x:f>TEXT(Monthly_Analysis!A7,"mmm")</x:f>
        <x:v>Apr</x:v>
      </x:c>
      <x:c r="B15" s="121" t="str">
        <x:f>"₹"&amp;TEXT(Monthly_Analysis!B7,"#,##0")</x:f>
        <x:v>₹96,038</x:v>
      </x:c>
      <x:c r="D15" s="128" t="n">
        <x:v>4</x:v>
      </x:c>
      <x:c r="E15" s="129" t="str">
        <x:f>INDEX(Product_Analysis!$A$4:$A$18,MATCH(D15,Product_Analysis!$D$4:$D$18,0))</x:f>
        <x:v>Laptop Stand</x:v>
      </x:c>
      <x:c r="F15" s="121" t="str">
        <x:f>"₹"&amp;TEXT(INDEX(Product_Analysis!$B$4:$B$18,MATCH(D15,Product_Analysis!$D$4:$D$18,0)),"#,##0")</x:f>
        <x:v>₹77,809</x:v>
      </x:c>
    </x:row>
    <x:row r="16">
      <x:c r="A16" s="158" t="str">
        <x:f>TEXT(Monthly_Analysis!A8,"mmm")</x:f>
        <x:v>May</x:v>
      </x:c>
      <x:c r="B16" s="121" t="str">
        <x:f>"₹"&amp;TEXT(Monthly_Analysis!B8,"#,##0")</x:f>
        <x:v>₹151,911</x:v>
      </x:c>
      <x:c r="D16" s="130" t="n">
        <x:v>5</x:v>
      </x:c>
      <x:c r="E16" s="131" t="str">
        <x:f>INDEX(Product_Analysis!$A$4:$A$18,MATCH(D16,Product_Analysis!$D$4:$D$18,0))</x:f>
        <x:v>Desk Organizer</x:v>
      </x:c>
      <x:c r="F16" s="123" t="str">
        <x:f>"₹"&amp;TEXT(INDEX(Product_Analysis!$B$4:$B$18,MATCH(D16,Product_Analysis!$D$4:$D$18,0)),"#,##0")</x:f>
        <x:v>₹60,235</x:v>
      </x:c>
    </x:row>
    <x:row r="17">
      <x:c r="A17" s="158" t="str">
        <x:f>TEXT(Monthly_Analysis!A9,"mmm")</x:f>
        <x:v>Jun</x:v>
      </x:c>
      <x:c r="B17" s="121" t="str">
        <x:f>"₹"&amp;TEXT(Monthly_Analysis!B9,"#,##0")</x:f>
        <x:v>₹224,302</x:v>
      </x:c>
    </x:row>
    <x:row r="18">
      <x:c r="A18" s="158" t="str">
        <x:f>TEXT(Monthly_Analysis!A10,"mmm")</x:f>
        <x:v>Jul</x:v>
      </x:c>
      <x:c r="B18" s="121" t="str">
        <x:f>"₹"&amp;TEXT(Monthly_Analysis!B10,"#,##0")</x:f>
        <x:v>₹111,314</x:v>
      </x:c>
    </x:row>
    <x:row r="19">
      <x:c r="A19" s="158" t="str">
        <x:f>TEXT(Monthly_Analysis!A11,"mmm")</x:f>
        <x:v>Aug</x:v>
      </x:c>
      <x:c r="B19" s="121" t="str">
        <x:f>"₹"&amp;TEXT(Monthly_Analysis!B11,"#,##0")</x:f>
        <x:v>₹143,893</x:v>
      </x:c>
      <x:c r="D19" s="4" t="str">
        <x:v>Top Cities</x:v>
      </x:c>
    </x:row>
    <x:row r="20">
      <x:c r="A20" s="158" t="str">
        <x:f>TEXT(Monthly_Analysis!A12,"mmm")</x:f>
        <x:v>Sep</x:v>
      </x:c>
      <x:c r="B20" s="121" t="str">
        <x:f>"₹"&amp;TEXT(Monthly_Analysis!B12,"#,##0")</x:f>
        <x:v>₹129,820</x:v>
      </x:c>
      <x:c r="D20" s="70" t="str">
        <x:v>Rank</x:v>
      </x:c>
      <x:c r="E20" s="71" t="str">
        <x:v>City</x:v>
      </x:c>
      <x:c r="F20" s="72" t="str">
        <x:v>Sales (INR)</x:v>
      </x:c>
    </x:row>
    <x:row r="21">
      <x:c r="A21" s="158" t="str">
        <x:f>TEXT(Monthly_Analysis!A13,"mmm")</x:f>
        <x:v>Oct</x:v>
      </x:c>
      <x:c r="B21" s="121" t="str">
        <x:f>"₹"&amp;TEXT(Monthly_Analysis!B13,"#,##0")</x:f>
        <x:v>₹82,493</x:v>
      </x:c>
      <x:c r="D21" s="128" t="n">
        <x:v>1</x:v>
      </x:c>
      <x:c r="E21" s="129" t="str">
        <x:f>INDEX(City_Analysis!$A$4:$A$13,MATCH(D21,City_Analysis!$D$4:$D$13,0))</x:f>
        <x:v>Bhopal</x:v>
      </x:c>
      <x:c r="F21" s="121" t="str">
        <x:f>"₹"&amp;TEXT(INDEX(City_Analysis!$B$4:$B$13,MATCH(D21,City_Analysis!$D$4:$D$13,0)),"#,##0")</x:f>
        <x:v>₹282,630</x:v>
      </x:c>
    </x:row>
    <x:row r="22">
      <x:c r="A22" s="158" t="str">
        <x:f>TEXT(Monthly_Analysis!A14,"mmm")</x:f>
        <x:v>Nov</x:v>
      </x:c>
      <x:c r="B22" s="121" t="str">
        <x:f>"₹"&amp;TEXT(Monthly_Analysis!B14,"#,##0")</x:f>
        <x:v>₹95,058</x:v>
      </x:c>
      <x:c r="D22" s="128" t="n">
        <x:v>2</x:v>
      </x:c>
      <x:c r="E22" s="129" t="str">
        <x:f>INDEX(City_Analysis!$A$4:$A$13,MATCH(D22,City_Analysis!$D$4:$D$13,0))</x:f>
        <x:v>Delhi</x:v>
      </x:c>
      <x:c r="F22" s="121" t="str">
        <x:f>"₹"&amp;TEXT(INDEX(City_Analysis!$B$4:$B$13,MATCH(D22,City_Analysis!$D$4:$D$13,0)),"#,##0")</x:f>
        <x:v>₹265,006</x:v>
      </x:c>
    </x:row>
    <x:row r="23">
      <x:c r="A23" s="159" t="str">
        <x:f>TEXT(Monthly_Analysis!A15,"mmm")</x:f>
        <x:v>Dec</x:v>
      </x:c>
      <x:c r="B23" s="123" t="str">
        <x:f>"₹"&amp;TEXT(Monthly_Analysis!B15,"#,##0")</x:f>
        <x:v>₹97,794</x:v>
      </x:c>
      <x:c r="D23" s="128" t="n">
        <x:v>3</x:v>
      </x:c>
      <x:c r="E23" s="129" t="str">
        <x:f>INDEX(City_Analysis!$A$4:$A$13,MATCH(D23,City_Analysis!$D$4:$D$13,0))</x:f>
        <x:v>Pune</x:v>
      </x:c>
      <x:c r="F23" s="121" t="str">
        <x:f>"₹"&amp;TEXT(INDEX(City_Analysis!$B$4:$B$13,MATCH(D23,City_Analysis!$D$4:$D$13,0)),"#,##0")</x:f>
        <x:v>₹201,796</x:v>
      </x:c>
    </x:row>
    <x:row r="24">
      <x:c r="D24" s="128" t="n">
        <x:v>4</x:v>
      </x:c>
      <x:c r="E24" s="129" t="str">
        <x:f>INDEX(City_Analysis!$A$4:$A$13,MATCH(D24,City_Analysis!$D$4:$D$13,0))</x:f>
        <x:v>Bengaluru</x:v>
      </x:c>
      <x:c r="F24" s="121" t="str">
        <x:f>"₹"&amp;TEXT(INDEX(City_Analysis!$B$4:$B$13,MATCH(D24,City_Analysis!$D$4:$D$13,0)),"#,##0")</x:f>
        <x:v>₹152,234</x:v>
      </x:c>
    </x:row>
    <x:row r="25">
      <x:c r="D25" s="130" t="n">
        <x:v>5</x:v>
      </x:c>
      <x:c r="E25" s="131" t="str">
        <x:f>INDEX(City_Analysis!$A$4:$A$13,MATCH(D25,City_Analysis!$D$4:$D$13,0))</x:f>
        <x:v>Hyderabad</x:v>
      </x:c>
      <x:c r="F25" s="123" t="str">
        <x:f>"₹"&amp;TEXT(INDEX(City_Analysis!$B$4:$B$13,MATCH(D25,City_Analysis!$D$4:$D$13,0)),"#,##0")</x:f>
        <x:v>₹131,926</x:v>
      </x:c>
    </x:row>
    <x:row r="26">
      <x:c r="A26" s="138" t="str">
        <x:v>Business Insights to Mention in Interview</x:v>
      </x:c>
    </x:row>
    <x:row r="27" ht="34" customHeight="1">
      <x:c r="A27" s="176" t="str">
        <x:v>1</x:v>
      </x:c>
      <x:c r="B27" s="177" t="str">
        <x:v>Track monthly revenue to identify seasonal sales patterns.</x:v>
      </x:c>
      <x:c r="C27" s="178"/>
      <x:c r="D27" s="178"/>
      <x:c r="E27" s="178"/>
      <x:c r="F27" s="178"/>
      <x:c r="G27" s="178"/>
      <x:c r="H27" s="179"/>
    </x:row>
    <x:row r="28" ht="34" customHeight="1">
      <x:c r="A28" s="180" t="str">
        <x:v>2</x:v>
      </x:c>
      <x:c r="B28" s="181" t="str">
        <x:v>Focus marketing on top-selling products and cities.</x:v>
      </x:c>
      <x:c r="C28" s="129"/>
      <x:c r="D28" s="129"/>
      <x:c r="E28" s="129"/>
      <x:c r="F28" s="129"/>
      <x:c r="G28" s="129"/>
      <x:c r="H28" s="182"/>
    </x:row>
    <x:row r="29" ht="34" customHeight="1">
      <x:c r="A29" s="180" t="str">
        <x:v>3</x:v>
      </x:c>
      <x:c r="B29" s="181" t="str">
        <x:v>Compare profit margin with sales to avoid only chasing high revenue.</x:v>
      </x:c>
      <x:c r="C29" s="129"/>
      <x:c r="D29" s="129"/>
      <x:c r="E29" s="129"/>
      <x:c r="F29" s="129"/>
      <x:c r="G29" s="129"/>
      <x:c r="H29" s="182"/>
    </x:row>
    <x:row r="30" ht="34" customHeight="1">
      <x:c r="A30" s="183" t="str">
        <x:v>4</x:v>
      </x:c>
      <x:c r="B30" s="184" t="str">
        <x:v>Use dashboard filters in Power BI for City, Product, Category and Month.</x:v>
      </x:c>
      <x:c r="C30" s="131"/>
      <x:c r="D30" s="131"/>
      <x:c r="E30" s="131"/>
      <x:c r="F30" s="131"/>
      <x:c r="G30" s="131"/>
      <x:c r="H30" s="185"/>
    </x:row>
  </x:sheetData>
  <x:mergeCells>
    <x:mergeCell ref="A1:H1"/>
    <x:mergeCell ref="A2:H2"/>
    <x:mergeCell ref="A4:B4"/>
    <x:mergeCell ref="A5:B5"/>
    <x:mergeCell ref="C4:D4"/>
    <x:mergeCell ref="C5:D5"/>
    <x:mergeCell ref="E4:F4"/>
    <x:mergeCell ref="E5:F5"/>
    <x:mergeCell ref="G4:H4"/>
    <x:mergeCell ref="G5:H5"/>
    <x:mergeCell ref="A7:B7"/>
    <x:mergeCell ref="A8:B8"/>
    <x:mergeCell ref="C7:D7"/>
    <x:mergeCell ref="C8:D8"/>
    <x:mergeCell ref="E7:F7"/>
    <x:mergeCell ref="E8:F8"/>
    <x:mergeCell ref="G7:H7"/>
    <x:mergeCell ref="G8:H8"/>
    <x:mergeCell ref="A10:B10"/>
    <x:mergeCell ref="D10:F10"/>
    <x:mergeCell ref="D19:F19"/>
    <x:mergeCell ref="A26:H26"/>
    <x:mergeCell ref="B27:H27"/>
    <x:mergeCell ref="B28:H28"/>
    <x:mergeCell ref="B29:H29"/>
    <x:mergeCell ref="B30:H30"/>
  </x:mergeCells>
  <x:pageMargins left="0.7" right="0.7" top="0.75" bottom="0.75" header="0.3" footer="0.3"/>
  <x:drawing xmlns:r="http://schemas.openxmlformats.org/officeDocument/2006/relationships" r:id="R70071640fb7244b7"/>
</x:worksheet>
</file>

<file path=xl/worksheets/sheet3.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s>
  <x:sheetData>
    <x:row r="1">
      <x:c r="A1" s="54" t="str">
        <x:v>Monthly Revenue Analysis</x:v>
      </x:c>
    </x:row>
    <x:row r="3">
      <x:c r="A3" s="70" t="str">
        <x:v>Month</x:v>
      </x:c>
      <x:c r="B3" s="71" t="str">
        <x:v>Revenue</x:v>
      </x:c>
      <x:c r="C3" s="71" t="str">
        <x:v>Profit</x:v>
      </x:c>
      <x:c r="D3" s="72" t="str">
        <x:v>Units Sold</x:v>
      </x:c>
    </x:row>
    <x:row r="4">
      <x:c r="A4" s="73" t="n">
        <x:v>45658</x:v>
      </x:c>
      <x:c r="B4" s="74" t="n">
        <x:f>ROUND(SUMIFS(Raw_Data!$K$2:$K$301,Raw_Data!$B$2:$B$301,"&gt;="&amp;A4,Raw_Data!$B$2:$B$301,"&lt;"&amp;EDATE(A4,1)),0)</x:f>
        <x:v>98237</x:v>
      </x:c>
      <x:c r="C4" s="74" t="n">
        <x:f>ROUND(SUMIFS(Raw_Data!$L$2:$L$301,Raw_Data!$B$2:$B$301,"&gt;="&amp;A4,Raw_Data!$B$2:$B$301,"&lt;"&amp;EDATE(A4,1)),0)</x:f>
        <x:v>16838</x:v>
      </x:c>
      <x:c r="D4" s="75" t="n">
        <x:f>SUMIFS(Raw_Data!$H$2:$H$301,Raw_Data!$B$2:$B$301,"&gt;="&amp;A4,Raw_Data!$B$2:$B$301,"&lt;"&amp;EDATE(A4,1))</x:f>
        <x:v>79</x:v>
      </x:c>
    </x:row>
    <x:row r="5">
      <x:c r="A5" s="73" t="n">
        <x:v>45689</x:v>
      </x:c>
      <x:c r="B5" s="74" t="n">
        <x:f>ROUND(SUMIFS(Raw_Data!$K$2:$K$301,Raw_Data!$B$2:$B$301,"&gt;="&amp;A5,Raw_Data!$B$2:$B$301,"&lt;"&amp;EDATE(A5,1)),0)</x:f>
        <x:v>110001</x:v>
      </x:c>
      <x:c r="C5" s="74" t="n">
        <x:f>ROUND(SUMIFS(Raw_Data!$L$2:$L$301,Raw_Data!$B$2:$B$301,"&gt;="&amp;A5,Raw_Data!$B$2:$B$301,"&lt;"&amp;EDATE(A5,1)),0)</x:f>
        <x:v>19840</x:v>
      </x:c>
      <x:c r="D5" s="75" t="n">
        <x:f>SUMIFS(Raw_Data!$H$2:$H$301,Raw_Data!$B$2:$B$301,"&gt;="&amp;A5,Raw_Data!$B$2:$B$301,"&lt;"&amp;EDATE(A5,1))</x:f>
        <x:v>101</x:v>
      </x:c>
    </x:row>
    <x:row r="6">
      <x:c r="A6" s="73" t="n">
        <x:v>45717</x:v>
      </x:c>
      <x:c r="B6" s="74" t="n">
        <x:f>ROUND(SUMIFS(Raw_Data!$K$2:$K$301,Raw_Data!$B$2:$B$301,"&gt;="&amp;A6,Raw_Data!$B$2:$B$301,"&lt;"&amp;EDATE(A6,1)),0)</x:f>
        <x:v>145982</x:v>
      </x:c>
      <x:c r="C6" s="74" t="n">
        <x:f>ROUND(SUMIFS(Raw_Data!$L$2:$L$301,Raw_Data!$B$2:$B$301,"&gt;="&amp;A6,Raw_Data!$B$2:$B$301,"&lt;"&amp;EDATE(A6,1)),0)</x:f>
        <x:v>23789</x:v>
      </x:c>
      <x:c r="D6" s="75" t="n">
        <x:f>SUMIFS(Raw_Data!$H$2:$H$301,Raw_Data!$B$2:$B$301,"&gt;="&amp;A6,Raw_Data!$B$2:$B$301,"&lt;"&amp;EDATE(A6,1))</x:f>
        <x:v>71</x:v>
      </x:c>
    </x:row>
    <x:row r="7">
      <x:c r="A7" s="73" t="n">
        <x:v>45748</x:v>
      </x:c>
      <x:c r="B7" s="74" t="n">
        <x:f>ROUND(SUMIFS(Raw_Data!$K$2:$K$301,Raw_Data!$B$2:$B$301,"&gt;="&amp;A7,Raw_Data!$B$2:$B$301,"&lt;"&amp;EDATE(A7,1)),0)</x:f>
        <x:v>96038</x:v>
      </x:c>
      <x:c r="C7" s="74" t="n">
        <x:f>ROUND(SUMIFS(Raw_Data!$L$2:$L$301,Raw_Data!$B$2:$B$301,"&gt;="&amp;A7,Raw_Data!$B$2:$B$301,"&lt;"&amp;EDATE(A7,1)),0)</x:f>
        <x:v>16728</x:v>
      </x:c>
      <x:c r="D7" s="75" t="n">
        <x:f>SUMIFS(Raw_Data!$H$2:$H$301,Raw_Data!$B$2:$B$301,"&gt;="&amp;A7,Raw_Data!$B$2:$B$301,"&lt;"&amp;EDATE(A7,1))</x:f>
        <x:v>69</x:v>
      </x:c>
    </x:row>
    <x:row r="8">
      <x:c r="A8" s="73" t="n">
        <x:v>45778</x:v>
      </x:c>
      <x:c r="B8" s="74" t="n">
        <x:f>ROUND(SUMIFS(Raw_Data!$K$2:$K$301,Raw_Data!$B$2:$B$301,"&gt;="&amp;A8,Raw_Data!$B$2:$B$301,"&lt;"&amp;EDATE(A8,1)),0)</x:f>
        <x:v>151911</x:v>
      </x:c>
      <x:c r="C8" s="74" t="n">
        <x:f>ROUND(SUMIFS(Raw_Data!$L$2:$L$301,Raw_Data!$B$2:$B$301,"&gt;="&amp;A8,Raw_Data!$B$2:$B$301,"&lt;"&amp;EDATE(A8,1)),0)</x:f>
        <x:v>25504</x:v>
      </x:c>
      <x:c r="D8" s="75" t="n">
        <x:f>SUMIFS(Raw_Data!$H$2:$H$301,Raw_Data!$B$2:$B$301,"&gt;="&amp;A8,Raw_Data!$B$2:$B$301,"&lt;"&amp;EDATE(A8,1))</x:f>
        <x:v>96</x:v>
      </x:c>
    </x:row>
    <x:row r="9">
      <x:c r="A9" s="73" t="n">
        <x:v>45809</x:v>
      </x:c>
      <x:c r="B9" s="74" t="n">
        <x:f>ROUND(SUMIFS(Raw_Data!$K$2:$K$301,Raw_Data!$B$2:$B$301,"&gt;="&amp;A9,Raw_Data!$B$2:$B$301,"&lt;"&amp;EDATE(A9,1)),0)</x:f>
        <x:v>224302</x:v>
      </x:c>
      <x:c r="C9" s="74" t="n">
        <x:f>ROUND(SUMIFS(Raw_Data!$L$2:$L$301,Raw_Data!$B$2:$B$301,"&gt;="&amp;A9,Raw_Data!$B$2:$B$301,"&lt;"&amp;EDATE(A9,1)),0)</x:f>
        <x:v>35677</x:v>
      </x:c>
      <x:c r="D9" s="75" t="n">
        <x:f>SUMIFS(Raw_Data!$H$2:$H$301,Raw_Data!$B$2:$B$301,"&gt;="&amp;A9,Raw_Data!$B$2:$B$301,"&lt;"&amp;EDATE(A9,1))</x:f>
        <x:v>92</x:v>
      </x:c>
    </x:row>
    <x:row r="10">
      <x:c r="A10" s="73" t="n">
        <x:v>45839</x:v>
      </x:c>
      <x:c r="B10" s="74" t="n">
        <x:f>ROUND(SUMIFS(Raw_Data!$K$2:$K$301,Raw_Data!$B$2:$B$301,"&gt;="&amp;A10,Raw_Data!$B$2:$B$301,"&lt;"&amp;EDATE(A10,1)),0)</x:f>
        <x:v>111314</x:v>
      </x:c>
      <x:c r="C10" s="74" t="n">
        <x:f>ROUND(SUMIFS(Raw_Data!$L$2:$L$301,Raw_Data!$B$2:$B$301,"&gt;="&amp;A10,Raw_Data!$B$2:$B$301,"&lt;"&amp;EDATE(A10,1)),0)</x:f>
        <x:v>19436</x:v>
      </x:c>
      <x:c r="D10" s="75" t="n">
        <x:f>SUMIFS(Raw_Data!$H$2:$H$301,Raw_Data!$B$2:$B$301,"&gt;="&amp;A10,Raw_Data!$B$2:$B$301,"&lt;"&amp;EDATE(A10,1))</x:f>
        <x:v>72</x:v>
      </x:c>
    </x:row>
    <x:row r="11">
      <x:c r="A11" s="73" t="n">
        <x:v>45870</x:v>
      </x:c>
      <x:c r="B11" s="74" t="n">
        <x:f>ROUND(SUMIFS(Raw_Data!$K$2:$K$301,Raw_Data!$B$2:$B$301,"&gt;="&amp;A11,Raw_Data!$B$2:$B$301,"&lt;"&amp;EDATE(A11,1)),0)</x:f>
        <x:v>143893</x:v>
      </x:c>
      <x:c r="C11" s="74" t="n">
        <x:f>ROUND(SUMIFS(Raw_Data!$L$2:$L$301,Raw_Data!$B$2:$B$301,"&gt;="&amp;A11,Raw_Data!$B$2:$B$301,"&lt;"&amp;EDATE(A11,1)),0)</x:f>
        <x:v>24266</x:v>
      </x:c>
      <x:c r="D11" s="75" t="n">
        <x:f>SUMIFS(Raw_Data!$H$2:$H$301,Raw_Data!$B$2:$B$301,"&gt;="&amp;A11,Raw_Data!$B$2:$B$301,"&lt;"&amp;EDATE(A11,1))</x:f>
        <x:v>86</x:v>
      </x:c>
    </x:row>
    <x:row r="12">
      <x:c r="A12" s="73" t="n">
        <x:v>45901</x:v>
      </x:c>
      <x:c r="B12" s="74" t="n">
        <x:f>ROUND(SUMIFS(Raw_Data!$K$2:$K$301,Raw_Data!$B$2:$B$301,"&gt;="&amp;A12,Raw_Data!$B$2:$B$301,"&lt;"&amp;EDATE(A12,1)),0)</x:f>
        <x:v>129820</x:v>
      </x:c>
      <x:c r="C12" s="74" t="n">
        <x:f>ROUND(SUMIFS(Raw_Data!$L$2:$L$301,Raw_Data!$B$2:$B$301,"&gt;="&amp;A12,Raw_Data!$B$2:$B$301,"&lt;"&amp;EDATE(A12,1)),0)</x:f>
        <x:v>21838</x:v>
      </x:c>
      <x:c r="D12" s="75" t="n">
        <x:f>SUMIFS(Raw_Data!$H$2:$H$301,Raw_Data!$B$2:$B$301,"&gt;="&amp;A12,Raw_Data!$B$2:$B$301,"&lt;"&amp;EDATE(A12,1))</x:f>
        <x:v>82</x:v>
      </x:c>
    </x:row>
    <x:row r="13">
      <x:c r="A13" s="73" t="n">
        <x:v>45931</x:v>
      </x:c>
      <x:c r="B13" s="74" t="n">
        <x:f>ROUND(SUMIFS(Raw_Data!$K$2:$K$301,Raw_Data!$B$2:$B$301,"&gt;="&amp;A13,Raw_Data!$B$2:$B$301,"&lt;"&amp;EDATE(A13,1)),0)</x:f>
        <x:v>82493</x:v>
      </x:c>
      <x:c r="C13" s="74" t="n">
        <x:f>ROUND(SUMIFS(Raw_Data!$L$2:$L$301,Raw_Data!$B$2:$B$301,"&gt;="&amp;A13,Raw_Data!$B$2:$B$301,"&lt;"&amp;EDATE(A13,1)),0)</x:f>
        <x:v>14305</x:v>
      </x:c>
      <x:c r="D13" s="75" t="n">
        <x:f>SUMIFS(Raw_Data!$H$2:$H$301,Raw_Data!$B$2:$B$301,"&gt;="&amp;A13,Raw_Data!$B$2:$B$301,"&lt;"&amp;EDATE(A13,1))</x:f>
        <x:v>59</x:v>
      </x:c>
    </x:row>
    <x:row r="14">
      <x:c r="A14" s="73" t="n">
        <x:v>45962</x:v>
      </x:c>
      <x:c r="B14" s="74" t="n">
        <x:f>ROUND(SUMIFS(Raw_Data!$K$2:$K$301,Raw_Data!$B$2:$B$301,"&gt;="&amp;A14,Raw_Data!$B$2:$B$301,"&lt;"&amp;EDATE(A14,1)),0)</x:f>
        <x:v>95058</x:v>
      </x:c>
      <x:c r="C14" s="74" t="n">
        <x:f>ROUND(SUMIFS(Raw_Data!$L$2:$L$301,Raw_Data!$B$2:$B$301,"&gt;="&amp;A14,Raw_Data!$B$2:$B$301,"&lt;"&amp;EDATE(A14,1)),0)</x:f>
        <x:v>17032</x:v>
      </x:c>
      <x:c r="D14" s="75" t="n">
        <x:f>SUMIFS(Raw_Data!$H$2:$H$301,Raw_Data!$B$2:$B$301,"&gt;="&amp;A14,Raw_Data!$B$2:$B$301,"&lt;"&amp;EDATE(A14,1))</x:f>
        <x:v>91</x:v>
      </x:c>
    </x:row>
    <x:row r="15">
      <x:c r="A15" s="73" t="n">
        <x:v>45992</x:v>
      </x:c>
      <x:c r="B15" s="74" t="n">
        <x:f>ROUND(SUMIFS(Raw_Data!$K$2:$K$301,Raw_Data!$B$2:$B$301,"&gt;="&amp;A15,Raw_Data!$B$2:$B$301,"&lt;"&amp;EDATE(A15,1)),0)</x:f>
        <x:v>97794</x:v>
      </x:c>
      <x:c r="C15" s="74" t="n">
        <x:f>ROUND(SUMIFS(Raw_Data!$L$2:$L$301,Raw_Data!$B$2:$B$301,"&gt;="&amp;A15,Raw_Data!$B$2:$B$301,"&lt;"&amp;EDATE(A15,1)),0)</x:f>
        <x:v>17792</x:v>
      </x:c>
      <x:c r="D15" s="75" t="n">
        <x:f>SUMIFS(Raw_Data!$H$2:$H$301,Raw_Data!$B$2:$B$301,"&gt;="&amp;A15,Raw_Data!$B$2:$B$301,"&lt;"&amp;EDATE(A15,1))</x:f>
        <x:v>64</x:v>
      </x:c>
    </x:row>
  </x:sheetData>
  <x:mergeCells>
    <x:mergeCell ref="A1:D1"/>
  </x:mergeCells>
  <x:conditionalFormatting sqref="B4:B15">
    <x:cfRule type="dataBar" priority="1">
      <x:dataBar>
        <x:cfvo type="min"/>
        <x:cfvo type="max"/>
        <x:color rgb="5B9BD5"/>
      </x:dataBar>
      <x:extLst>
        <x:ext xmlns:x14="http://schemas.microsoft.com/office/spreadsheetml/2009/9/main" uri="{B025F937-C7B1-47D3-B67F-A62EFF666E3E}">
          <x14:id>{125204E7-8175-9B71-FAF9-E756B525318A}</x14:id>
        </x:ext>
      </x:extLst>
    </x:cfRule>
  </x:conditionalFormatting>
  <x:pageMargins left="0.7" right="0.7" top="0.75" bottom="0.75" header="0.3" footer="0.3"/>
  <x:tableParts count="1">
    <x:tablePart xmlns:r="http://schemas.openxmlformats.org/officeDocument/2006/relationships" r:id="Rf8cca224d9ad4f0c"/>
  </x:tableParts>
  <x:extLst>
    <x:ext xmlns:x14="http://schemas.microsoft.com/office/spreadsheetml/2009/9/main" xmlns:xm="http://schemas.microsoft.com/office/excel/2006/main" uri="{78C0D931-6437-407d-A8EE-F0AAD7539E65}">
      <x14:conditionalFormattings>
        <x14:conditionalFormatting>
          <x14:cfRule type="dataBar" priority="1" id="{125204E7-8175-9B71-FAF9-E756B525318A}">
            <x14:dataBar gradient="1">
              <x14:cfvo type="min"/>
              <x14:cfvo type="max"/>
              <x14:fillColor rgb="5B9BD5"/>
            </x14:dataBar>
          </x14:cfRule>
          <xm:sqref>B4:B15</xm:sqref>
        </x14:conditionalFormatting>
      </x14:conditionalFormattings>
    </x:ext>
  </x:extLst>
</x:worksheet>
</file>

<file path=xl/worksheets/sheet4.xml><?xml version="1.0" encoding="utf-8"?>
<x:worksheet xmlns:x="http://schemas.openxmlformats.org/spreadsheetml/2006/main">
  <x:sheetFormatPr defaultRowHeight="15"/>
  <x:cols>
    <x:col min="1" max="1" width="22" hidden="0" customWidth="1"/>
    <x:col min="2" max="2" width="16" hidden="0" customWidth="1"/>
    <x:col min="3" max="3" width="12" hidden="0" customWidth="1"/>
    <x:col min="4" max="4" width="10" hidden="0" customWidth="1"/>
  </x:cols>
  <x:sheetData>
    <x:row r="1">
      <x:c r="A1" s="53" t="str">
        <x:v>Product Performance Analysis</x:v>
      </x:c>
    </x:row>
    <x:row r="3">
      <x:c r="A3" s="60" t="str">
        <x:v>Product</x:v>
      </x:c>
      <x:c r="B3" s="60" t="str">
        <x:v>Revenue</x:v>
      </x:c>
      <x:c r="C3" s="60" t="str">
        <x:v>Units Sold</x:v>
      </x:c>
      <x:c r="D3" s="60" t="str">
        <x:v>Rank</x:v>
      </x:c>
    </x:row>
    <x:row r="4">
      <x:c r="A4" t="str">
        <x:v>Backpack</x:v>
      </x:c>
      <x:c r="B4" s="66" t="n">
        <x:f>ROUND(SUMIFS(Raw_Data!$K$2:$K$301,Raw_Data!$G$2:$G$301,A4),0)</x:f>
        <x:v>41861</x:v>
      </x:c>
      <x:c r="C4" s="68" t="n">
        <x:f>SUMIFS(Raw_Data!$H$2:$H$301,Raw_Data!$G$2:$G$301,A4)</x:f>
        <x:v>37</x:v>
      </x:c>
      <x:c r="D4" s="68" t="n">
        <x:f>RANK.EQ(B4,$B$4:$B$18,0)</x:f>
        <x:v>9</x:v>
      </x:c>
    </x:row>
    <x:row r="5">
      <x:c r="A5" t="str">
        <x:v>Ball Pen Set</x:v>
      </x:c>
      <x:c r="B5" s="66" t="n">
        <x:f>ROUND(SUMIFS(Raw_Data!$K$2:$K$301,Raw_Data!$G$2:$G$301,A5),0)</x:f>
        <x:v>16214</x:v>
      </x:c>
      <x:c r="C5" s="68" t="n">
        <x:f>SUMIFS(Raw_Data!$H$2:$H$301,Raw_Data!$G$2:$G$301,A5)</x:f>
        <x:v>84</x:v>
      </x:c>
      <x:c r="D5" s="68" t="n">
        <x:f>RANK.EQ(B5,$B$4:$B$18,0)</x:f>
        <x:v>13</x:v>
      </x:c>
    </x:row>
    <x:row r="6">
      <x:c r="A6" t="str">
        <x:v>Bluetooth Speaker</x:v>
      </x:c>
      <x:c r="B6" s="66" t="n">
        <x:f>ROUND(SUMIFS(Raw_Data!$K$2:$K$301,Raw_Data!$G$2:$G$301,A6),0)</x:f>
        <x:v>58051</x:v>
      </x:c>
      <x:c r="C6" s="68" t="n">
        <x:f>SUMIFS(Raw_Data!$H$2:$H$301,Raw_Data!$G$2:$G$301,A6)</x:f>
        <x:v>42</x:v>
      </x:c>
      <x:c r="D6" s="68" t="n">
        <x:f>RANK.EQ(B6,$B$4:$B$18,0)</x:f>
        <x:v>6</x:v>
      </x:c>
    </x:row>
    <x:row r="7">
      <x:c r="A7" t="str">
        <x:v>Bookshelf</x:v>
      </x:c>
      <x:c r="B7" s="66" t="n">
        <x:f>ROUND(SUMIFS(Raw_Data!$K$2:$K$301,Raw_Data!$G$2:$G$301,A7),0)</x:f>
        <x:v>211100</x:v>
      </x:c>
      <x:c r="C7" s="68" t="n">
        <x:f>SUMIFS(Raw_Data!$H$2:$H$301,Raw_Data!$G$2:$G$301,A7)</x:f>
        <x:v>65</x:v>
      </x:c>
      <x:c r="D7" s="68" t="n">
        <x:f>RANK.EQ(B7,$B$4:$B$18,0)</x:f>
        <x:v>3</x:v>
      </x:c>
    </x:row>
    <x:row r="8">
      <x:c r="A8" t="str">
        <x:v>Desk Lamp</x:v>
      </x:c>
      <x:c r="B8" s="66" t="n">
        <x:f>ROUND(SUMIFS(Raw_Data!$K$2:$K$301,Raw_Data!$G$2:$G$301,A8),0)</x:f>
        <x:v>37730</x:v>
      </x:c>
      <x:c r="C8" s="68" t="n">
        <x:f>SUMIFS(Raw_Data!$H$2:$H$301,Raw_Data!$G$2:$G$301,A8)</x:f>
        <x:v>46</x:v>
      </x:c>
      <x:c r="D8" s="68" t="n">
        <x:f>RANK.EQ(B8,$B$4:$B$18,0)</x:f>
        <x:v>10</x:v>
      </x:c>
    </x:row>
    <x:row r="9">
      <x:c r="A9" t="str">
        <x:v>Desk Organizer</x:v>
      </x:c>
      <x:c r="B9" s="66" t="n">
        <x:f>ROUND(SUMIFS(Raw_Data!$K$2:$K$301,Raw_Data!$G$2:$G$301,A9),0)</x:f>
        <x:v>60235</x:v>
      </x:c>
      <x:c r="C9" s="68" t="n">
        <x:f>SUMIFS(Raw_Data!$H$2:$H$301,Raw_Data!$G$2:$G$301,A9)</x:f>
        <x:v>92</x:v>
      </x:c>
      <x:c r="D9" s="68" t="n">
        <x:f>RANK.EQ(B9,$B$4:$B$18,0)</x:f>
        <x:v>5</x:v>
      </x:c>
    </x:row>
    <x:row r="10">
      <x:c r="A10" t="str">
        <x:v>Laptop Sleeve</x:v>
      </x:c>
      <x:c r="B10" s="66" t="n">
        <x:f>ROUND(SUMIFS(Raw_Data!$K$2:$K$301,Raw_Data!$G$2:$G$301,A10),0)</x:f>
        <x:v>50141</x:v>
      </x:c>
      <x:c r="C10" s="68" t="n">
        <x:f>SUMIFS(Raw_Data!$H$2:$H$301,Raw_Data!$G$2:$G$301,A10)</x:f>
        <x:v>75</x:v>
      </x:c>
      <x:c r="D10" s="68" t="n">
        <x:f>RANK.EQ(B10,$B$4:$B$18,0)</x:f>
        <x:v>8</x:v>
      </x:c>
    </x:row>
    <x:row r="11">
      <x:c r="A11" t="str">
        <x:v>Laptop Stand</x:v>
      </x:c>
      <x:c r="B11" s="66" t="n">
        <x:f>ROUND(SUMIFS(Raw_Data!$K$2:$K$301,Raw_Data!$G$2:$G$301,A11),0)</x:f>
        <x:v>77809</x:v>
      </x:c>
      <x:c r="C11" s="68" t="n">
        <x:f>SUMIFS(Raw_Data!$H$2:$H$301,Raw_Data!$G$2:$G$301,A11)</x:f>
        <x:v>64</x:v>
      </x:c>
      <x:c r="D11" s="68" t="n">
        <x:f>RANK.EQ(B11,$B$4:$B$18,0)</x:f>
        <x:v>4</x:v>
      </x:c>
    </x:row>
    <x:row r="12">
      <x:c r="A12" t="str">
        <x:v>Notebook Pack</x:v>
      </x:c>
      <x:c r="B12" s="66" t="n">
        <x:f>ROUND(SUMIFS(Raw_Data!$K$2:$K$301,Raw_Data!$G$2:$G$301,A12),0)</x:f>
        <x:v>14671</x:v>
      </x:c>
      <x:c r="C12" s="68" t="n">
        <x:f>SUMIFS(Raw_Data!$H$2:$H$301,Raw_Data!$G$2:$G$301,A12)</x:f>
        <x:v>64</x:v>
      </x:c>
      <x:c r="D12" s="68" t="n">
        <x:f>RANK.EQ(B12,$B$4:$B$18,0)</x:f>
        <x:v>14</x:v>
      </x:c>
    </x:row>
    <x:row r="13">
      <x:c r="A13" t="str">
        <x:v>Office Chair</x:v>
      </x:c>
      <x:c r="B13" s="66" t="n">
        <x:f>ROUND(SUMIFS(Raw_Data!$K$2:$K$301,Raw_Data!$G$2:$G$301,A13),0)</x:f>
        <x:v>269370</x:v>
      </x:c>
      <x:c r="C13" s="68" t="n">
        <x:f>SUMIFS(Raw_Data!$H$2:$H$301,Raw_Data!$G$2:$G$301,A13)</x:f>
        <x:v>57</x:v>
      </x:c>
      <x:c r="D13" s="68" t="n">
        <x:f>RANK.EQ(B13,$B$4:$B$18,0)</x:f>
        <x:v>2</x:v>
      </x:c>
    </x:row>
    <x:row r="14">
      <x:c r="A14" t="str">
        <x:v>Printer Paper</x:v>
      </x:c>
      <x:c r="B14" s="66" t="n">
        <x:f>ROUND(SUMIFS(Raw_Data!$K$2:$K$301,Raw_Data!$G$2:$G$301,A14),0)</x:f>
        <x:v>24852</x:v>
      </x:c>
      <x:c r="C14" s="68" t="n">
        <x:f>SUMIFS(Raw_Data!$H$2:$H$301,Raw_Data!$G$2:$G$301,A14)</x:f>
        <x:v>66</x:v>
      </x:c>
      <x:c r="D14" s="68" t="n">
        <x:f>RANK.EQ(B14,$B$4:$B$18,0)</x:f>
        <x:v>12</x:v>
      </x:c>
    </x:row>
    <x:row r="15">
      <x:c r="A15" t="str">
        <x:v>Study Table</x:v>
      </x:c>
      <x:c r="B15" s="66" t="n">
        <x:f>ROUND(SUMIFS(Raw_Data!$K$2:$K$301,Raw_Data!$G$2:$G$301,A15),0)</x:f>
        <x:v>533824</x:v>
      </x:c>
      <x:c r="C15" s="68" t="n">
        <x:f>SUMIFS(Raw_Data!$H$2:$H$301,Raw_Data!$G$2:$G$301,A15)</x:f>
        <x:v>81</x:v>
      </x:c>
      <x:c r="D15" s="68" t="n">
        <x:f>RANK.EQ(B15,$B$4:$B$18,0)</x:f>
        <x:v>1</x:v>
      </x:c>
    </x:row>
    <x:row r="16">
      <x:c r="A16" t="str">
        <x:v>USB-C Cable</x:v>
      </x:c>
      <x:c r="B16" s="66" t="n">
        <x:f>ROUND(SUMIFS(Raw_Data!$K$2:$K$301,Raw_Data!$G$2:$G$301,A16),0)</x:f>
        <x:v>9190</x:v>
      </x:c>
      <x:c r="C16" s="68" t="n">
        <x:f>SUMIFS(Raw_Data!$H$2:$H$301,Raw_Data!$G$2:$G$301,A16)</x:f>
        <x:v>33</x:v>
      </x:c>
      <x:c r="D16" s="68" t="n">
        <x:f>RANK.EQ(B16,$B$4:$B$18,0)</x:f>
        <x:v>15</x:v>
      </x:c>
    </x:row>
    <x:row r="17">
      <x:c r="A17" t="str">
        <x:v>Water Bottle</x:v>
      </x:c>
      <x:c r="B17" s="66" t="n">
        <x:f>ROUND(SUMIFS(Raw_Data!$K$2:$K$301,Raw_Data!$G$2:$G$301,A17),0)</x:f>
        <x:v>30069</x:v>
      </x:c>
      <x:c r="C17" s="68" t="n">
        <x:f>SUMIFS(Raw_Data!$H$2:$H$301,Raw_Data!$G$2:$G$301,A17)</x:f>
        <x:v>89</x:v>
      </x:c>
      <x:c r="D17" s="68" t="n">
        <x:f>RANK.EQ(B17,$B$4:$B$18,0)</x:f>
        <x:v>11</x:v>
      </x:c>
    </x:row>
    <x:row r="18">
      <x:c r="A18" t="str">
        <x:v>Wireless Mouse</x:v>
      </x:c>
      <x:c r="B18" s="66" t="n">
        <x:f>ROUND(SUMIFS(Raw_Data!$K$2:$K$301,Raw_Data!$G$2:$G$301,A18),0)</x:f>
        <x:v>51726</x:v>
      </x:c>
      <x:c r="C18" s="68" t="n">
        <x:f>SUMIFS(Raw_Data!$H$2:$H$301,Raw_Data!$G$2:$G$301,A18)</x:f>
        <x:v>67</x:v>
      </x:c>
      <x:c r="D18" s="68" t="n">
        <x:f>RANK.EQ(B18,$B$4:$B$18,0)</x:f>
        <x:v>7</x:v>
      </x:c>
    </x:row>
  </x:sheetData>
  <x:mergeCells>
    <x:mergeCell ref="A1:D1"/>
  </x:mergeCells>
  <x:conditionalFormatting sqref="B4:B18">
    <x:cfRule type="dataBar" priority="1">
      <x:dataBar>
        <x:cfvo type="min"/>
        <x:cfvo type="max"/>
        <x:color rgb="70AD47"/>
      </x:dataBar>
      <x:extLst>
        <x:ext xmlns:x14="http://schemas.microsoft.com/office/spreadsheetml/2009/9/main" uri="{B025F937-C7B1-47D3-B67F-A62EFF666E3E}">
          <x14:id>{C852337D-1BA7-61CB-DAE2-C2A6C1D34040}</x14:id>
        </x:ext>
      </x:extLst>
    </x:cfRule>
  </x:conditionalFormatting>
  <x:pageMargins left="0.7" right="0.7" top="0.75" bottom="0.75" header="0.3" footer="0.3"/>
  <x:tableParts count="1">
    <x:tablePart xmlns:r="http://schemas.openxmlformats.org/officeDocument/2006/relationships" r:id="Rbbebcc6fdc6e48da"/>
  </x:tableParts>
  <x:extLst>
    <x:ext xmlns:x14="http://schemas.microsoft.com/office/spreadsheetml/2009/9/main" xmlns:xm="http://schemas.microsoft.com/office/excel/2006/main" uri="{78C0D931-6437-407d-A8EE-F0AAD7539E65}">
      <x14:conditionalFormattings>
        <x14:conditionalFormatting>
          <x14:cfRule type="dataBar" priority="1" id="{C852337D-1BA7-61CB-DAE2-C2A6C1D34040}">
            <x14:dataBar gradient="1">
              <x14:cfvo type="min"/>
              <x14:cfvo type="max"/>
              <x14:fillColor rgb="70AD47"/>
            </x14:dataBar>
          </x14:cfRule>
          <xm:sqref>B4:B18</xm:sqref>
        </x14:conditionalFormatting>
      </x14:conditionalFormattings>
    </x:ext>
  </x:extLst>
</x:worksheet>
</file>

<file path=xl/worksheets/sheet5.xml><?xml version="1.0" encoding="utf-8"?>
<x:worksheet xmlns:x="http://schemas.openxmlformats.org/spreadsheetml/2006/main">
  <x:sheetFormatPr defaultRowHeight="15"/>
  <x:cols>
    <x:col min="1" max="1" width="16" hidden="0" customWidth="1"/>
    <x:col min="2" max="2" width="16" hidden="0" customWidth="1"/>
    <x:col min="3" max="3" width="12" hidden="0" customWidth="1"/>
    <x:col min="4" max="4" width="10" hidden="0" customWidth="1"/>
  </x:cols>
  <x:sheetData>
    <x:row r="1">
      <x:c r="A1" s="53" t="str">
        <x:v>City-wise Sales Analysis</x:v>
      </x:c>
    </x:row>
    <x:row r="3">
      <x:c r="A3" s="60" t="str">
        <x:v>City</x:v>
      </x:c>
      <x:c r="B3" s="60" t="str">
        <x:v>Revenue</x:v>
      </x:c>
      <x:c r="C3" s="60" t="str">
        <x:v>Orders</x:v>
      </x:c>
      <x:c r="D3" s="60" t="str">
        <x:v>Rank</x:v>
      </x:c>
    </x:row>
    <x:row r="4">
      <x:c r="A4" t="str">
        <x:v>Bengaluru</x:v>
      </x:c>
      <x:c r="B4" s="66" t="n">
        <x:f>ROUND(SUMIFS(Raw_Data!$K$2:$K$301,Raw_Data!$D$2:$D$301,A4),0)</x:f>
        <x:v>152234</x:v>
      </x:c>
      <x:c r="C4" s="68" t="n">
        <x:f>COUNTIFS(Raw_Data!$D$2:$D$301,A4)</x:f>
        <x:v>24</x:v>
      </x:c>
      <x:c r="D4" s="68" t="n">
        <x:f>RANK.EQ(B4,$B$4:$B$13,0)</x:f>
        <x:v>4</x:v>
      </x:c>
    </x:row>
    <x:row r="5">
      <x:c r="A5" t="str">
        <x:v>Bhopal</x:v>
      </x:c>
      <x:c r="B5" s="66" t="n">
        <x:f>ROUND(SUMIFS(Raw_Data!$K$2:$K$301,Raw_Data!$D$2:$D$301,A5),0)</x:f>
        <x:v>282630</x:v>
      </x:c>
      <x:c r="C5" s="68" t="n">
        <x:f>COUNTIFS(Raw_Data!$D$2:$D$301,A5)</x:f>
        <x:v>38</x:v>
      </x:c>
      <x:c r="D5" s="68" t="n">
        <x:f>RANK.EQ(B5,$B$4:$B$13,0)</x:f>
        <x:v>1</x:v>
      </x:c>
    </x:row>
    <x:row r="6">
      <x:c r="A6" t="str">
        <x:v>Chennai</x:v>
      </x:c>
      <x:c r="B6" s="66" t="n">
        <x:f>ROUND(SUMIFS(Raw_Data!$K$2:$K$301,Raw_Data!$D$2:$D$301,A6),0)</x:f>
        <x:v>106846</x:v>
      </x:c>
      <x:c r="C6" s="68" t="n">
        <x:f>COUNTIFS(Raw_Data!$D$2:$D$301,A6)</x:f>
        <x:v>26</x:v>
      </x:c>
      <x:c r="D6" s="68" t="n">
        <x:f>RANK.EQ(B6,$B$4:$B$13,0)</x:f>
        <x:v>7</x:v>
      </x:c>
    </x:row>
    <x:row r="7">
      <x:c r="A7" t="str">
        <x:v>Delhi</x:v>
      </x:c>
      <x:c r="B7" s="66" t="n">
        <x:f>ROUND(SUMIFS(Raw_Data!$K$2:$K$301,Raw_Data!$D$2:$D$301,A7),0)</x:f>
        <x:v>265006</x:v>
      </x:c>
      <x:c r="C7" s="68" t="n">
        <x:f>COUNTIFS(Raw_Data!$D$2:$D$301,A7)</x:f>
        <x:v>32</x:v>
      </x:c>
      <x:c r="D7" s="68" t="n">
        <x:f>RANK.EQ(B7,$B$4:$B$13,0)</x:f>
        <x:v>2</x:v>
      </x:c>
    </x:row>
    <x:row r="8">
      <x:c r="A8" t="str">
        <x:v>Hyderabad</x:v>
      </x:c>
      <x:c r="B8" s="66" t="n">
        <x:f>ROUND(SUMIFS(Raw_Data!$K$2:$K$301,Raw_Data!$D$2:$D$301,A8),0)</x:f>
        <x:v>131926</x:v>
      </x:c>
      <x:c r="C8" s="68" t="n">
        <x:f>COUNTIFS(Raw_Data!$D$2:$D$301,A8)</x:f>
        <x:v>31</x:v>
      </x:c>
      <x:c r="D8" s="68" t="n">
        <x:f>RANK.EQ(B8,$B$4:$B$13,0)</x:f>
        <x:v>5</x:v>
      </x:c>
    </x:row>
    <x:row r="9">
      <x:c r="A9" t="str">
        <x:v>Jaipur</x:v>
      </x:c>
      <x:c r="B9" s="66" t="n">
        <x:f>ROUND(SUMIFS(Raw_Data!$K$2:$K$301,Raw_Data!$D$2:$D$301,A9),0)</x:f>
        <x:v>68599</x:v>
      </x:c>
      <x:c r="C9" s="68" t="n">
        <x:f>COUNTIFS(Raw_Data!$D$2:$D$301,A9)</x:f>
        <x:v>24</x:v>
      </x:c>
      <x:c r="D9" s="68" t="n">
        <x:f>RANK.EQ(B9,$B$4:$B$13,0)</x:f>
        <x:v>9</x:v>
      </x:c>
    </x:row>
    <x:row r="10">
      <x:c r="A10" t="str">
        <x:v>Kolkata</x:v>
      </x:c>
      <x:c r="B10" s="66" t="n">
        <x:f>ROUND(SUMIFS(Raw_Data!$K$2:$K$301,Raw_Data!$D$2:$D$301,A10),0)</x:f>
        <x:v>114407</x:v>
      </x:c>
      <x:c r="C10" s="68" t="n">
        <x:f>COUNTIFS(Raw_Data!$D$2:$D$301,A10)</x:f>
        <x:v>34</x:v>
      </x:c>
      <x:c r="D10" s="68" t="n">
        <x:f>RANK.EQ(B10,$B$4:$B$13,0)</x:f>
        <x:v>6</x:v>
      </x:c>
    </x:row>
    <x:row r="11">
      <x:c r="A11" t="str">
        <x:v>Mumbai</x:v>
      </x:c>
      <x:c r="B11" s="66" t="n">
        <x:f>ROUND(SUMIFS(Raw_Data!$K$2:$K$301,Raw_Data!$D$2:$D$301,A11),0)</x:f>
        <x:v>97085</x:v>
      </x:c>
      <x:c r="C11" s="68" t="n">
        <x:f>COUNTIFS(Raw_Data!$D$2:$D$301,A11)</x:f>
        <x:v>33</x:v>
      </x:c>
      <x:c r="D11" s="68" t="n">
        <x:f>RANK.EQ(B11,$B$4:$B$13,0)</x:f>
        <x:v>8</x:v>
      </x:c>
    </x:row>
    <x:row r="12">
      <x:c r="A12" t="str">
        <x:v>Nagpur</x:v>
      </x:c>
      <x:c r="B12" s="66" t="n">
        <x:f>ROUND(SUMIFS(Raw_Data!$K$2:$K$301,Raw_Data!$D$2:$D$301,A12),0)</x:f>
        <x:v>66314</x:v>
      </x:c>
      <x:c r="C12" s="68" t="n">
        <x:f>COUNTIFS(Raw_Data!$D$2:$D$301,A12)</x:f>
        <x:v>22</x:v>
      </x:c>
      <x:c r="D12" s="68" t="n">
        <x:f>RANK.EQ(B12,$B$4:$B$13,0)</x:f>
        <x:v>10</x:v>
      </x:c>
    </x:row>
    <x:row r="13">
      <x:c r="A13" t="str">
        <x:v>Pune</x:v>
      </x:c>
      <x:c r="B13" s="66" t="n">
        <x:f>ROUND(SUMIFS(Raw_Data!$K$2:$K$301,Raw_Data!$D$2:$D$301,A13),0)</x:f>
        <x:v>201796</x:v>
      </x:c>
      <x:c r="C13" s="68" t="n">
        <x:f>COUNTIFS(Raw_Data!$D$2:$D$301,A13)</x:f>
        <x:v>36</x:v>
      </x:c>
      <x:c r="D13" s="68" t="n">
        <x:f>RANK.EQ(B13,$B$4:$B$13,0)</x:f>
        <x:v>3</x:v>
      </x:c>
    </x:row>
  </x:sheetData>
  <x:mergeCells>
    <x:mergeCell ref="A1:D1"/>
  </x:mergeCells>
  <x:conditionalFormatting sqref="B4:B13">
    <x:cfRule type="dataBar" priority="1">
      <x:dataBar>
        <x:cfvo type="min"/>
        <x:cfvo type="max"/>
        <x:color rgb="F4B183"/>
      </x:dataBar>
      <x:extLst>
        <x:ext xmlns:x14="http://schemas.microsoft.com/office/spreadsheetml/2009/9/main" uri="{B025F937-C7B1-47D3-B67F-A62EFF666E3E}">
          <x14:id>{5177880E-756E-D38E-FDE1-C07985685A9E}</x14:id>
        </x:ext>
      </x:extLst>
    </x:cfRule>
  </x:conditionalFormatting>
  <x:pageMargins left="0.7" right="0.7" top="0.75" bottom="0.75" header="0.3" footer="0.3"/>
  <x:tableParts count="1">
    <x:tablePart xmlns:r="http://schemas.openxmlformats.org/officeDocument/2006/relationships" r:id="Rd2d4930e02e04682"/>
  </x:tableParts>
  <x:extLst>
    <x:ext xmlns:x14="http://schemas.microsoft.com/office/spreadsheetml/2009/9/main" xmlns:xm="http://schemas.microsoft.com/office/excel/2006/main" uri="{78C0D931-6437-407d-A8EE-F0AAD7539E65}">
      <x14:conditionalFormattings>
        <x14:conditionalFormatting>
          <x14:cfRule type="dataBar" priority="1" id="{5177880E-756E-D38E-FDE1-C07985685A9E}">
            <x14:dataBar gradient="1">
              <x14:cfvo type="min"/>
              <x14:cfvo type="max"/>
              <x14:fillColor rgb="F4B183"/>
            </x14:dataBar>
          </x14:cfRule>
          <xm:sqref>B4:B13</xm:sqref>
        </x14:conditionalFormatting>
      </x14:conditionalFormattings>
    </x:ext>
  </x:extLst>
</x:worksheet>
</file>

<file path=xl/worksheets/sheet6.xml><?xml version="1.0" encoding="utf-8"?>
<x:worksheet xmlns:x="http://schemas.openxmlformats.org/spreadsheetml/2006/main">
  <x:sheetFormatPr defaultRowHeight="15"/>
  <x:cols>
    <x:col min="1" max="1" width="8" hidden="0" customWidth="1"/>
    <x:col min="2" max="2" width="22" hidden="0" customWidth="1"/>
    <x:col min="3" max="3" width="32" hidden="0" customWidth="1"/>
    <x:col min="4" max="4" width="28" hidden="0" customWidth="1"/>
    <x:col min="5" max="5" width="35" hidden="0" customWidth="1"/>
  </x:cols>
  <x:sheetData>
    <x:row r="1">
      <x:c r="A1" s="53" t="str">
        <x:v>Power BI Dashboard Creation Guide</x:v>
      </x:c>
    </x:row>
    <x:row r="3">
      <x:c r="A3" s="70" t="str">
        <x:v>Step</x:v>
      </x:c>
      <x:c r="B3" s="71" t="str">
        <x:v>Action</x:v>
      </x:c>
      <x:c r="C3" s="71" t="str">
        <x:v>What to Select in Power BI</x:v>
      </x:c>
      <x:c r="D3" s="71" t="str">
        <x:v>Purpose</x:v>
      </x:c>
      <x:c r="E3" s="72" t="str">
        <x:v>Example</x:v>
      </x:c>
    </x:row>
    <x:row r="4">
      <x:c r="A4" s="144" t="n">
        <x:v>1</x:v>
      </x:c>
      <x:c r="B4" s="145" t="str">
        <x:v>Open Power BI Desktop</x:v>
      </x:c>
      <x:c r="C4" s="145" t="str">
        <x:v>Get Data → Excel → select this workbook</x:v>
      </x:c>
      <x:c r="D4" s="145" t="str">
        <x:v>Load sales dataset</x:v>
      </x:c>
      <x:c r="E4" s="146" t="str">
        <x:v>Choose Raw_Data sheet/table</x:v>
      </x:c>
    </x:row>
    <x:row r="5">
      <x:c r="A5" s="144" t="n">
        <x:v>2</x:v>
      </x:c>
      <x:c r="B5" s="145" t="str">
        <x:v>Clean data in Power Query</x:v>
      </x:c>
      <x:c r="C5" s="145" t="str">
        <x:v>Check data types for Date, Sales, Profit, Quantity</x:v>
      </x:c>
      <x:c r="D5" s="145" t="str">
        <x:v>Prepare accurate analysis</x:v>
      </x:c>
      <x:c r="E5" s="146" t="str">
        <x:v>Order Date = Date, Sales = Decimal</x:v>
      </x:c>
    </x:row>
    <x:row r="6">
      <x:c r="A6" s="144" t="n">
        <x:v>3</x:v>
      </x:c>
      <x:c r="B6" s="145" t="str">
        <x:v>Create Measures</x:v>
      </x:c>
      <x:c r="C6" s="145" t="str">
        <x:v>Modeling → New Measure</x:v>
      </x:c>
      <x:c r="D6" s="145" t="str">
        <x:v>Build KPIs</x:v>
      </x:c>
      <x:c r="E6" s="146" t="str">
        <x:v>Total Sales = SUM(Raw_Data[Sales])</x:v>
      </x:c>
    </x:row>
    <x:row r="7">
      <x:c r="A7" s="144" t="n">
        <x:v>4</x:v>
      </x:c>
      <x:c r="B7" s="145" t="str">
        <x:v>Add KPI cards</x:v>
      </x:c>
      <x:c r="C7" s="145" t="str">
        <x:v>Card visual</x:v>
      </x:c>
      <x:c r="D7" s="145" t="str">
        <x:v>Show top metrics</x:v>
      </x:c>
      <x:c r="E7" s="146" t="str">
        <x:v>Total Sales, Total Profit, Orders, Units Sold</x:v>
      </x:c>
    </x:row>
    <x:row r="8">
      <x:c r="A8" s="144" t="n">
        <x:v>5</x:v>
      </x:c>
      <x:c r="B8" s="145" t="str">
        <x:v>Monthly trend chart</x:v>
      </x:c>
      <x:c r="C8" s="145" t="str">
        <x:v>Clustered column chart</x:v>
      </x:c>
      <x:c r="D8" s="145" t="str">
        <x:v>Analyze monthly revenue</x:v>
      </x:c>
      <x:c r="E8" s="146" t="str">
        <x:v>Axis = Month, Values = Total Sales</x:v>
      </x:c>
    </x:row>
    <x:row r="9">
      <x:c r="A9" s="144" t="n">
        <x:v>6</x:v>
      </x:c>
      <x:c r="B9" s="145" t="str">
        <x:v>Top product chart</x:v>
      </x:c>
      <x:c r="C9" s="145" t="str">
        <x:v>Bar chart</x:v>
      </x:c>
      <x:c r="D9" s="145" t="str">
        <x:v>Find best-selling products</x:v>
      </x:c>
      <x:c r="E9" s="146" t="str">
        <x:v>Axis = Product, Values = Total Sales</x:v>
      </x:c>
    </x:row>
    <x:row r="10">
      <x:c r="A10" s="144" t="n">
        <x:v>7</x:v>
      </x:c>
      <x:c r="B10" s="145" t="str">
        <x:v>City analysis</x:v>
      </x:c>
      <x:c r="C10" s="145" t="str">
        <x:v>Map or bar chart</x:v>
      </x:c>
      <x:c r="D10" s="145" t="str">
        <x:v>Compare city-wise sales</x:v>
      </x:c>
      <x:c r="E10" s="146" t="str">
        <x:v>Axis = City, Values = Total Sales</x:v>
      </x:c>
    </x:row>
    <x:row r="11">
      <x:c r="A11" s="144" t="n">
        <x:v>8</x:v>
      </x:c>
      <x:c r="B11" s="145" t="str">
        <x:v>Add slicers</x:v>
      </x:c>
      <x:c r="C11" s="145" t="str">
        <x:v>Slicer visual</x:v>
      </x:c>
      <x:c r="D11" s="145" t="str">
        <x:v>Interactive filtering</x:v>
      </x:c>
      <x:c r="E11" s="146" t="str">
        <x:v>Category, City, Month</x:v>
      </x:c>
    </x:row>
    <x:row r="12">
      <x:c r="A12" s="147" t="n">
        <x:v>9</x:v>
      </x:c>
      <x:c r="B12" s="148" t="str">
        <x:v>Format and publish</x:v>
      </x:c>
      <x:c r="C12" s="148" t="str">
        <x:v>Themes, titles, labels</x:v>
      </x:c>
      <x:c r="D12" s="148" t="str">
        <x:v>Make dashboard professional</x:v>
      </x:c>
      <x:c r="E12" s="149" t="str">
        <x:v>Add project title and insights</x:v>
      </x:c>
    </x:row>
  </x:sheetData>
  <x:mergeCells>
    <x:mergeCell ref="A1:E1"/>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90" hidden="0" customWidth="1"/>
  </x:cols>
  <x:sheetData>
    <x:row r="1">
      <x:c r="A1" s="53" t="str">
        <x:v>Sales Data Analysis Project - README</x:v>
      </x:c>
    </x:row>
    <x:row r="3">
      <x:c r="A3" s="156" t="str">
        <x:v>Project Title</x:v>
      </x:c>
      <x:c r="B3" s="142" t="str">
        <x:v>Sales Performance Dashboard using Excel and Power BI</x:v>
      </x:c>
    </x:row>
    <x:row r="4">
      <x:c r="A4" s="156" t="str">
        <x:v>Objective</x:v>
      </x:c>
      <x:c r="B4" s="142" t="str">
        <x:v>Analyze sales data to identify total sales, top products, monthly revenue trends and top-performing cities.</x:v>
      </x:c>
    </x:row>
    <x:row r="5">
      <x:c r="A5" s="156" t="str">
        <x:v>Tools Used</x:v>
      </x:c>
      <x:c r="B5" s="142" t="str">
        <x:v>Microsoft Excel, Power BI, SQL-ready dataset, Data Visualization, Dashboarding</x:v>
      </x:c>
    </x:row>
    <x:row r="6">
      <x:c r="A6" s="156" t="str">
        <x:v>Dataset</x:v>
      </x:c>
      <x:c r="B6" s="142" t="str">
        <x:v>300 synthetic sales orders with fields like Order Date, City, Product, Quantity, Unit Price, Discount, Sales and Profit.</x:v>
      </x:c>
    </x:row>
    <x:row r="7">
      <x:c r="A7" s="156" t="str">
        <x:v>Key Metrics</x:v>
      </x:c>
      <x:c r="B7" s="142" t="str">
        <x:v>Total Sales, Total Profit, Total Orders, Units Sold, Average Order Value, Profit Margin.</x:v>
      </x:c>
    </x:row>
    <x:row r="8">
      <x:c r="A8" s="156" t="str">
        <x:v>Resume Bullet 1</x:v>
      </x:c>
      <x:c r="B8" s="142" t="str">
        <x:v>Built an Excel-based sales analytics dashboard using formulas, tables and charts to track revenue, profit and product performance.</x:v>
      </x:c>
    </x:row>
    <x:row r="9">
      <x:c r="A9" s="156" t="str">
        <x:v>Resume Bullet 2</x:v>
      </x:c>
      <x:c r="B9" s="142" t="str">
        <x:v>Analyzed 300 sales records to identify top products, monthly revenue trends and city-wise business performance.</x:v>
      </x:c>
    </x:row>
    <x:row r="10">
      <x:c r="A10" s="156" t="str">
        <x:v>Resume Bullet 3</x:v>
      </x:c>
      <x:c r="B10" s="142" t="str">
        <x:v>Designed Power BI dashboard plan with KPIs, slicers, monthly sales trend and top product/city visualizations.</x:v>
      </x:c>
    </x:row>
    <x:row r="11">
      <x:c r="A11" s="156" t="str">
        <x:v>LinkedIn Description</x:v>
      </x:c>
      <x:c r="B11" s="142" t="str">
        <x:v>Created a Sales Performance Dashboard project using Excel and Power BI to analyze total sales, top products, monthly revenue and top cities. This project helped me practice data cleaning, SUMIFS formulas, dashboard design and business insights.</x:v>
      </x:c>
    </x:row>
    <x:row r="12">
      <x:c r="A12" s="156" t="str">
        <x:v>GitHub README Summary</x:v>
      </x:c>
      <x:c r="B12" s="142" t="str">
        <x:v>This project demonstrates beginner-level data analytics skills using Excel and Power BI. It includes raw sales data, analysis sheets, an Excel dashboard and a Power BI implementation guide.</x:v>
      </x:c>
    </x:row>
  </x:sheetData>
  <x:mergeCells>
    <x:mergeCell ref="A1:D1"/>
  </x:mergeCells>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4" hidden="0" customWidth="1"/>
    <x:col min="4" max="4" width="22" hidden="0" customWidth="1"/>
    <x:col min="5" max="5" width="14" hidden="0" customWidth="1"/>
  </x:cols>
  <x:sheetData>
    <x:row r="1">
      <x:c r="A1" s="60" t="str">
        <x:v>Month</x:v>
      </x:c>
      <x:c r="B1" s="60" t="str">
        <x:v>Sales</x:v>
      </x:c>
      <x:c r="D1" s="60" t="str">
        <x:v>Product</x:v>
      </x:c>
      <x:c r="E1" s="60" t="str">
        <x:v>Sales</x:v>
      </x:c>
    </x:row>
    <x:row r="2">
      <x:c r="A2" t="str">
        <x:f>TEXT(Monthly_Analysis!A4,"mmm")</x:f>
        <x:v>Jan</x:v>
      </x:c>
      <x:c r="B2" s="66" t="n">
        <x:f>Monthly_Analysis!B4</x:f>
        <x:v>98237</x:v>
      </x:c>
      <x:c r="D2" t="str">
        <x:f>INDEX(Product_Analysis!$A$4:$A$18,MATCH(1,Product_Analysis!$D$4:$D$18,0))</x:f>
        <x:v>Study Table</x:v>
      </x:c>
      <x:c r="E2" s="66" t="n">
        <x:f>INDEX(Product_Analysis!$B$4:$B$18,MATCH(1,Product_Analysis!$D$4:$D$18,0))</x:f>
        <x:v>533824</x:v>
      </x:c>
    </x:row>
    <x:row r="3">
      <x:c r="A3" t="str">
        <x:f>TEXT(Monthly_Analysis!A5,"mmm")</x:f>
        <x:v>Feb</x:v>
      </x:c>
      <x:c r="B3" s="66" t="n">
        <x:f>Monthly_Analysis!B5</x:f>
        <x:v>110001</x:v>
      </x:c>
      <x:c r="D3" t="str">
        <x:f>INDEX(Product_Analysis!$A$4:$A$18,MATCH(2,Product_Analysis!$D$4:$D$18,0))</x:f>
        <x:v>Office Chair</x:v>
      </x:c>
      <x:c r="E3" s="66" t="n">
        <x:f>INDEX(Product_Analysis!$B$4:$B$18,MATCH(2,Product_Analysis!$D$4:$D$18,0))</x:f>
        <x:v>269370</x:v>
      </x:c>
    </x:row>
    <x:row r="4">
      <x:c r="A4" t="str">
        <x:f>TEXT(Monthly_Analysis!A6,"mmm")</x:f>
        <x:v>Mar</x:v>
      </x:c>
      <x:c r="B4" s="66" t="n">
        <x:f>Monthly_Analysis!B6</x:f>
        <x:v>145982</x:v>
      </x:c>
      <x:c r="D4" t="str">
        <x:f>INDEX(Product_Analysis!$A$4:$A$18,MATCH(3,Product_Analysis!$D$4:$D$18,0))</x:f>
        <x:v>Bookshelf</x:v>
      </x:c>
      <x:c r="E4" s="66" t="n">
        <x:f>INDEX(Product_Analysis!$B$4:$B$18,MATCH(3,Product_Analysis!$D$4:$D$18,0))</x:f>
        <x:v>211100</x:v>
      </x:c>
    </x:row>
    <x:row r="5">
      <x:c r="A5" t="str">
        <x:f>TEXT(Monthly_Analysis!A7,"mmm")</x:f>
        <x:v>Apr</x:v>
      </x:c>
      <x:c r="B5" s="66" t="n">
        <x:f>Monthly_Analysis!B7</x:f>
        <x:v>96038</x:v>
      </x:c>
      <x:c r="D5" t="str">
        <x:f>INDEX(Product_Analysis!$A$4:$A$18,MATCH(4,Product_Analysis!$D$4:$D$18,0))</x:f>
        <x:v>Laptop Stand</x:v>
      </x:c>
      <x:c r="E5" s="66" t="n">
        <x:f>INDEX(Product_Analysis!$B$4:$B$18,MATCH(4,Product_Analysis!$D$4:$D$18,0))</x:f>
        <x:v>77809</x:v>
      </x:c>
    </x:row>
    <x:row r="6">
      <x:c r="A6" t="str">
        <x:f>TEXT(Monthly_Analysis!A8,"mmm")</x:f>
        <x:v>May</x:v>
      </x:c>
      <x:c r="B6" s="66" t="n">
        <x:f>Monthly_Analysis!B8</x:f>
        <x:v>151911</x:v>
      </x:c>
      <x:c r="D6" t="str">
        <x:f>INDEX(Product_Analysis!$A$4:$A$18,MATCH(5,Product_Analysis!$D$4:$D$18,0))</x:f>
        <x:v>Desk Organizer</x:v>
      </x:c>
      <x:c r="E6" s="66" t="n">
        <x:f>INDEX(Product_Analysis!$B$4:$B$18,MATCH(5,Product_Analysis!$D$4:$D$18,0))</x:f>
        <x:v>60235</x:v>
      </x:c>
    </x:row>
    <x:row r="7">
      <x:c r="A7" t="str">
        <x:f>TEXT(Monthly_Analysis!A9,"mmm")</x:f>
        <x:v>Jun</x:v>
      </x:c>
      <x:c r="B7" s="66" t="n">
        <x:f>Monthly_Analysis!B9</x:f>
        <x:v>224302</x:v>
      </x:c>
    </x:row>
    <x:row r="8">
      <x:c r="A8" t="str">
        <x:f>TEXT(Monthly_Analysis!A10,"mmm")</x:f>
        <x:v>Jul</x:v>
      </x:c>
      <x:c r="B8" s="66" t="n">
        <x:f>Monthly_Analysis!B10</x:f>
        <x:v>111314</x:v>
      </x:c>
    </x:row>
    <x:row r="9">
      <x:c r="A9" t="str">
        <x:f>TEXT(Monthly_Analysis!A11,"mmm")</x:f>
        <x:v>Aug</x:v>
      </x:c>
      <x:c r="B9" s="66" t="n">
        <x:f>Monthly_Analysis!B11</x:f>
        <x:v>143893</x:v>
      </x:c>
    </x:row>
    <x:row r="10">
      <x:c r="A10" t="str">
        <x:f>TEXT(Monthly_Analysis!A12,"mmm")</x:f>
        <x:v>Sep</x:v>
      </x:c>
      <x:c r="B10" s="66" t="n">
        <x:f>Monthly_Analysis!B12</x:f>
        <x:v>129820</x:v>
      </x:c>
    </x:row>
    <x:row r="11">
      <x:c r="A11" t="str">
        <x:f>TEXT(Monthly_Analysis!A13,"mmm")</x:f>
        <x:v>Oct</x:v>
      </x:c>
      <x:c r="B11" s="66" t="n">
        <x:f>Monthly_Analysis!B13</x:f>
        <x:v>82493</x:v>
      </x:c>
    </x:row>
    <x:row r="12">
      <x:c r="A12" t="str">
        <x:f>TEXT(Monthly_Analysis!A14,"mmm")</x:f>
        <x:v>Nov</x:v>
      </x:c>
      <x:c r="B12" s="66" t="n">
        <x:f>Monthly_Analysis!B14</x:f>
        <x:v>95058</x:v>
      </x:c>
    </x:row>
    <x:row r="13">
      <x:c r="A13" t="str">
        <x:f>TEXT(Monthly_Analysis!A15,"mmm")</x:f>
        <x:v>Dec</x:v>
      </x:c>
      <x:c r="B13" s="66" t="n">
        <x:f>Monthly_Analysis!B15</x:f>
        <x:v>97794</x:v>
      </x:c>
    </x:row>
  </x:sheetData>
  <x:pageMargins left="0.7" right="0.7" top="0.75" bottom="0.75" header="0.3" footer="0.3"/>
</x:worksheet>
</file>